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LuisLlases\Desktop\Últimas modificaciones MORDRED\model_parameters\"/>
    </mc:Choice>
  </mc:AlternateContent>
  <xr:revisionPtr revIDLastSave="0" documentId="13_ncr:1_{2E5F80AA-8752-4090-9F03-2B8B797AD3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pulation" sheetId="1" r:id="rId1"/>
    <sheet name="Economy" sheetId="2" r:id="rId2"/>
    <sheet name="Labour" sheetId="5" r:id="rId3"/>
    <sheet name="Energy" sheetId="7" r:id="rId4"/>
    <sheet name="Land" sheetId="6" r:id="rId5"/>
    <sheet name="Stressors" sheetId="3" r:id="rId6"/>
    <sheet name="Climate" sheetId="9" r:id="rId7"/>
    <sheet name="Units" sheetId="4" r:id="rId8"/>
  </sheets>
  <externalReferences>
    <externalReference r:id="rId9"/>
    <externalReference r:id="rId10"/>
  </externalReferences>
  <definedNames>
    <definedName name="A">#REF!</definedName>
    <definedName name="a_parabolic_high">Climate!#REF!</definedName>
    <definedName name="a_parabolic_low">Climate!#REF!</definedName>
    <definedName name="a_parabolic_medium">Climate!#REF!</definedName>
    <definedName name="Aerosol_cloud_interactions">Climate!$D$96</definedName>
    <definedName name="Aerosol_radiation_interactions">Climate!$D$95</definedName>
    <definedName name="Afforestation_program">Climate!#REF!</definedName>
    <definedName name="AGE_BY_COHORT">Population!$D$23:$W$23</definedName>
    <definedName name="AIR_POLLUTION_SECTORIAL_INTENSITY">Stressors!$D$96:$AB$98</definedName>
    <definedName name="ALPHA_BIRTH_RATE">Population!$D$42:$E$42</definedName>
    <definedName name="ALPHA_DAMAGE_LABOUR_PRODUCTIVITY">Labour!#REF!</definedName>
    <definedName name="ALPHA_DAMAGE_LABOUR_SUPPLY">Labour!#REF!</definedName>
    <definedName name="ALPHA_LAND_SUBSISTENCE_DAMAGE">Land!#REF!</definedName>
    <definedName name="ALPHA_OUTPUT_LOSSES_A_MATRIX">Economy!#REF!</definedName>
    <definedName name="AMAZ">Climate!#REF!</definedName>
    <definedName name="ANNUAL_WORKING_HOURS">[1]Labour!$E$9</definedName>
    <definedName name="Aragonite_saturation_correction_factor" localSheetId="6">[2]Stressors!$E$108</definedName>
    <definedName name="Aragonite_saturation_correction_factor">Stressors!$D$111</definedName>
    <definedName name="area">Climate!$D$125</definedName>
    <definedName name="Average_solar_irradiance">Climate!#REF!</definedName>
    <definedName name="b_parabolic_high">Climate!#REF!</definedName>
    <definedName name="b_parabolic_low">Climate!#REF!</definedName>
    <definedName name="b_parabolic_medium">Climate!#REF!</definedName>
    <definedName name="BETA_0_BIRTH_RATE_UNDER_SUBSISTENCE">Population!$D$49:$I$49</definedName>
    <definedName name="BETA_0_EXTRACTION">Energy!#REF!</definedName>
    <definedName name="BETA_0_FORMAL_ECONOMY_TO_SUBSISTENCE">[1]Population!$E$4</definedName>
    <definedName name="BETA_0_MAXIMUM_FORMAL_ECONOMY_TO_SUBSISTENCE">Population!#REF!</definedName>
    <definedName name="BETA_0_MORTALITY_RATE">Population!$D$30:$W$30</definedName>
    <definedName name="BETA_1_BIRTH_RATE">Population!$D$45:$E$45</definedName>
    <definedName name="BETA_1_BIRTH_RATE_UNDER_SUBSISTENCE">Population!$D$50:$I$50</definedName>
    <definedName name="BETA_1_EXTRACTION">Energy!#REF!</definedName>
    <definedName name="BETA_1_FORMAL_ECONOMY_TO_SUBSISTENCE">[1]Population!$E$5</definedName>
    <definedName name="BETA_1_MORTALITY_RATE">Population!$D$31:$W$31</definedName>
    <definedName name="BETA_1_SUBSISTENCE_TO_FORMAL_ECONOMY">[1]Population!$E$3</definedName>
    <definedName name="BETA_2_BIRTH_RATE">Population!$D$46:$E$46</definedName>
    <definedName name="BETA_OUTPUT_LOSSES_A_MATRIX">Economy!#REF!</definedName>
    <definedName name="Biomass_Res_Time">Climate!$D$7</definedName>
    <definedName name="Biostim_coeff_index">Climate!$D$10</definedName>
    <definedName name="Biostim_coeff_mean">Climate!$D$11</definedName>
    <definedName name="Buff_C_Coeff">Climate!$D$13</definedName>
    <definedName name="C_in_permafrost">Climate!$D$30</definedName>
    <definedName name="c_parabolic_high">Climate!#REF!</definedName>
    <definedName name="c_parabolic_low">Climate!#REF!</definedName>
    <definedName name="c_parabolic_medium">Climate!#REF!</definedName>
    <definedName name="carbon_budget">Climate!#REF!</definedName>
    <definedName name="CES">Climate!#REF!</definedName>
    <definedName name="CF4_molar_mass">Climate!$D$58</definedName>
    <definedName name="CH4_emissions">Climate!#REF!</definedName>
    <definedName name="CH4_Generation_Rate_from_Biomass">Climate!$D$26</definedName>
    <definedName name="CH4_Generation_Rate_from_Humus">Climate!$D$25</definedName>
    <definedName name="CH4_molar_mass">Climate!$D$47</definedName>
    <definedName name="CH4_N20_inter_exp">Climate!$D$89</definedName>
    <definedName name="CH4_N20_inter_exp_2">Climate!$D$90</definedName>
    <definedName name="CH4_N2O_inter_coef_2">Climate!$D$87</definedName>
    <definedName name="CH4_N2O_inter_coef_3">Climate!$D$88</definedName>
    <definedName name="CH4_N2O_interaction_coeffient">Climate!$D$86</definedName>
    <definedName name="CH4_N2O_unit_adj">Climate!$D$84</definedName>
    <definedName name="CH4_radiative_efficiency_coefficient">Climate!$D$82</definedName>
    <definedName name="CH4_reference_conc" localSheetId="6">Climate!$D$83</definedName>
    <definedName name="CH4_reference_conc">#REF!</definedName>
    <definedName name="Climate_Sensitivity">Climate!#REF!</definedName>
    <definedName name="CMOC">Climate!#REF!</definedName>
    <definedName name="CO2_Rad_Force_C_ROADS">Climate!$D$121</definedName>
    <definedName name="Coal_Reserves">Climate!#REF!</definedName>
    <definedName name="Coal_Resources">Climate!#REF!</definedName>
    <definedName name="CONSUMPTION_PER_CAPITA_1">Economy!$I$34</definedName>
    <definedName name="CONSUMPTION_PER_CAPITA_2">Economy!$I$36</definedName>
    <definedName name="CONSUMPTION_PER_CAPITA_3">Economy!$I$38</definedName>
    <definedName name="CONSUMPTION_PER_CAPITA_4">Economy!#REF!</definedName>
    <definedName name="CONSUMPTION_PER_CAPITA_5">Economy!#REF!</definedName>
    <definedName name="CONSUMPTION_PER_CAPITA_IN_SUBSISTENCE">Economy!$H$42:$H$44</definedName>
    <definedName name="CONSUMPTION_SHARE_1">Economy!$E$33:$AC$33</definedName>
    <definedName name="CONSUMPTION_SHARE_2">Economy!$E$35:$AC$35</definedName>
    <definedName name="CONSUMPTION_SHARE_3">Economy!$E$37:$AC$37</definedName>
    <definedName name="CONSUMPTION_SHARE_4">Economy!#REF!</definedName>
    <definedName name="CONSUMPTION_SHARE_5">Economy!#REF!</definedName>
    <definedName name="Contrails_and_aviation_induced_cirrus">Climate!$D$99</definedName>
    <definedName name="CONVERSION_FACTOR_MONETARY_TO_ENERGY">Energy!$D$5:$AB$10</definedName>
    <definedName name="CONVERSION_FACTOR_MONETARY_TO_NON_ENERGY_USE_OF_FOSSIL_FUELS">Energy!$D$14:$AB$19</definedName>
    <definedName name="CONVERSION_FROM_FINAL_ENERGY_TO_PRIMARY_ENERGY_FOSSIL_FUELS">Energy!$D$23:$D$25</definedName>
    <definedName name="CONVERSION_FROM_FINAL_ENERGY_TO_PRIMARY_ENERGY_URANIUM">Energy!$D$26</definedName>
    <definedName name="CONVERSION_FROM_FOSSIL_ELECTRICITY_TO_PRIMARY_ENERGY_FOSSIL_FUELS">Energy!$D$36:$D$38</definedName>
    <definedName name="CORRECTION_CHEMICAL_AND_FERTILIZER_MINERALS">Stressors!$D$108:$V$108</definedName>
    <definedName name="CORRECTION_P_SOIL">Stressors!$D$105:$F$105</definedName>
    <definedName name="Cumulative_CO2_emissions_1750_2018">Climate!#REF!</definedName>
    <definedName name="Cumulative_CO2_emissions_1751_1995">Climate!#REF!</definedName>
    <definedName name="Cumulative_CO2_emissions_1751_2005">Climate!#REF!</definedName>
    <definedName name="Cumulative_CO2_emissions_1850_2018">Climate!#REF!</definedName>
    <definedName name="DAIS">Climate!#REF!</definedName>
    <definedName name="days_per_year">Climate!$D$153</definedName>
    <definedName name="density">Climate!$D$129</definedName>
    <definedName name="DISPOSABLE_LAND">Land!$D$23</definedName>
    <definedName name="DISPOSABLE_LAND_FOR_FOODLAND_AND_FOREST">Land!#REF!</definedName>
    <definedName name="DISPOSABLE_LAND_FOR_THE_REST_OF_THE_LANDS">Land!#REF!</definedName>
    <definedName name="ECDF_ECS_AR5">Climate!#REF!</definedName>
    <definedName name="Eddy_diff_coeff_index">Climate!$D$22</definedName>
    <definedName name="Eddy_diff_mean">Climate!$D$23</definedName>
    <definedName name="FACTOR_OUTPUT_LOSSES_A_MATRIX">Economy!#REF!</definedName>
    <definedName name="FOSSIL_FUEL_EMISSIONS_INTENSITY">Stressors!$D$22:$D$24</definedName>
    <definedName name="GAMMA_OUTPUT_LOSSES_A_MATRIX">Economy!#REF!</definedName>
    <definedName name="Gas_Reserves">Climate!#REF!</definedName>
    <definedName name="Gas_Resources">Climate!#REF!</definedName>
    <definedName name="GOVERNMENT_CONSUMPTION_AS_SHARE_OF_HOUSEHOLDS_CONSUMPTION_PER_EACH_CONSUMPTION_PER_CAPITA">Economy!$D$48:$F$48</definedName>
    <definedName name="GREENHOUSE_GAS_EMISSIONS_INTENSITY">Stressors!$D$5:$AB$10</definedName>
    <definedName name="GtC_PER_ppm">Climate!$D$155</definedName>
    <definedName name="GWP_100">Climate!$D$104:$D$117</definedName>
    <definedName name="GWP_20">Climate!#REF!</definedName>
    <definedName name="Heat_Diffusion_Covar">Climate!$D$122</definedName>
    <definedName name="Heat_Transfer_Rate">Climate!$D$123</definedName>
    <definedName name="HFC_molar_mass">Climate!$D$69:$D$77</definedName>
    <definedName name="HFC_radiative_efficiency">Climate!$F$69:$F$77</definedName>
    <definedName name="HFCs_RCP_2_6">Climate!#REF!</definedName>
    <definedName name="HFCs_RCP_4_5">Climate!#REF!</definedName>
    <definedName name="HFCs_RCP_6">Climate!#REF!</definedName>
    <definedName name="HFCs_RCP_8_5">Climate!#REF!</definedName>
    <definedName name="Humification_Fraction">Climate!$D$6</definedName>
    <definedName name="Humus_Res_Time">Climate!$D$5</definedName>
    <definedName name="INDUSTRIAL_ROUNDWOOD_INTENSITY">Stressors!$D$72:$AB$72</definedName>
    <definedName name="INFRAESTRUCTURE_LAND_INTENSITY">Land!$D$16</definedName>
    <definedName name="init_Atmos_UOcean_Temp">Climate!$D$124</definedName>
    <definedName name="Init_C_in_Biomass">Climate!$D$32</definedName>
    <definedName name="Init_C_in_Deep_Ocean_per_meter">Climate!$D$34:$D$37</definedName>
    <definedName name="Init_C_in_Humus">Climate!$D$31</definedName>
    <definedName name="Init_C_in_Mixed_Ocean_per_meter">Climate!$D$33</definedName>
    <definedName name="init_CO2_in_Atmos_ppm">Climate!$D$28</definedName>
    <definedName name="Init_Deep_Ocean_Temp">Climate!$D$38:$D$41</definedName>
    <definedName name="Init_NPP">Climate!$D$8</definedName>
    <definedName name="Init_PFC_in_Atm">Climate!$D$55</definedName>
    <definedName name="INITIAL_A_MATRIX">Economy!$D$5:$AB$29</definedName>
    <definedName name="INITIAL_CAPITAL_FACTOR_TO_ADJUST_INVESTMENTS">Economy!#REF!</definedName>
    <definedName name="INITIAL_CAPITAL_INTENSITY">Economy!$D$68:$AB$68</definedName>
    <definedName name="INITIAL_CAPITAL_STOCK">Economy!$D$72:$AB$72</definedName>
    <definedName name="Initial_CH4_conc">Climate!$D$45</definedName>
    <definedName name="INITIAL_CONSUMPTION_PER_CAPITA">Economy!$E$42:$G$44</definedName>
    <definedName name="INITIAL_DEPRECIATION_BY_SECTOR">Economy!$D$64:$AB$64</definedName>
    <definedName name="INITIAL_FOREST_LAND">Land!$D$21:$D$22</definedName>
    <definedName name="Initial_HFC_con">Climate!$C$69:$C$77</definedName>
    <definedName name="INITIAL_LABOUR_INTENSITY">Labour!$D$5:$AB$5</definedName>
    <definedName name="Initial_N2O_conc">Climate!$D$53</definedName>
    <definedName name="INITIAL_OUTPUT">Economy!$D$60:$AB$60</definedName>
    <definedName name="INITIAL_POPULATION">Population!$D$5:$W$7</definedName>
    <definedName name="INITIAL_POPULATION_IN_FORMAL_ECONOMY">Population!$D$11:$W$13</definedName>
    <definedName name="INITIAL_POPULATION_IN_SUBSISTENCE">Population!$D$17:$W$19</definedName>
    <definedName name="INITIAL_RECOVERABLE_RESOURCES_OF_FOSSIL_FUELS">Energy!#REF!</definedName>
    <definedName name="initial_sea_level_rise_in_1995">Climate!#REF!</definedName>
    <definedName name="INITIAL_SECTORIAL_LANDS_INTENSITIES">Land!$D$5:$AB$8</definedName>
    <definedName name="Initial_SF6_con">Climate!$D$60</definedName>
    <definedName name="initial_SLR_1995">Climate!#REF!</definedName>
    <definedName name="initial_SLR_2019">Climate!$D$144</definedName>
    <definedName name="INITIAL_USED_FOREST">Land!$D$20</definedName>
    <definedName name="instantaneous_vs_av_period_Temperature_change">Climate!#REF!</definedName>
    <definedName name="INVESTMENT_SPEED_PARAMETER">Economy!$D$76</definedName>
    <definedName name="land_area_fraction">Climate!$D$127</definedName>
    <definedName name="land_thickness">Climate!$D$126</definedName>
    <definedName name="Land_use">Climate!$D$97</definedName>
    <definedName name="land_use_change_emissions">Climate!#REF!</definedName>
    <definedName name="LAND_USE_CHANGE_EMISSIONS_INTENSITY">Stressors!$D$14:$D$18</definedName>
    <definedName name="Last_historical_RF_year">Climate!#REF!</definedName>
    <definedName name="Layer_Depth_Layers">Climate!$D$18:$D$21</definedName>
    <definedName name="Layer1">Climate!$D$34</definedName>
    <definedName name="Layer1_temp">Climate!$D$38</definedName>
    <definedName name="Layer2">Climate!$D$35</definedName>
    <definedName name="Layer2_temp">Climate!$D$39</definedName>
    <definedName name="Layer3">Climate!$D$36</definedName>
    <definedName name="Layer3_temp">Climate!$D$40</definedName>
    <definedName name="Layer4">Climate!$D$37</definedName>
    <definedName name="Layer4_temp">Climate!$D$41</definedName>
    <definedName name="LOG_ALPHA_BIRTH_RATE">Population!$D$37:$E$37</definedName>
    <definedName name="LOG_ALPHA_MORTALITY_RATE">Population!$D$29:$W$29</definedName>
    <definedName name="Lower_threshold_PBI_biogeochemical_flows_nitrogen">Stressors!$D$121</definedName>
    <definedName name="Lower_threshold_PBI_biogeochemical_flows_phosphurus">Stressors!$D$120</definedName>
    <definedName name="Lower_threshold_PBI_biosphere_integrity">Stressors!$D$117</definedName>
    <definedName name="Lower_threshold_PBI_Climate_CO2_concentration">Stressors!$D$115</definedName>
    <definedName name="Lower_threshold_PBI_Climate_CO2_radiative_forcing">Stressors!$D$116</definedName>
    <definedName name="Lower_threshold_PBI_land_system_change">Stressors!$D$122</definedName>
    <definedName name="Lower_threshold_PBI_novel_entities">Stressors!$D$123</definedName>
    <definedName name="Lower_threshold_PBI_ocean_acidification">Stressors!$D$119</definedName>
    <definedName name="Lower_threshold_PBI_ozone">Stressors!$D$118</definedName>
    <definedName name="mass_heat_cap">Climate!$D$128</definedName>
    <definedName name="MATERIAL_EXTRACTION_INTENSITY_UNUSED">Stressors!$D$50:$AB$68</definedName>
    <definedName name="MATERIAL_EXTRACTION_INTENSITY_USED">Stressors!$D$28:$AB$46</definedName>
    <definedName name="MATRIX_UNITS_PREFIXES">Units!$D$6:$S$21</definedName>
    <definedName name="MAXIMUM_FOODLAND_LOSS_CAUSED_BY_CLIMATE_CHANGE">Land!#REF!</definedName>
    <definedName name="MAXIMUM_LAND_LOSS_CAUSED_BY_CLIMATE_CHANGE">Land!#REF!</definedName>
    <definedName name="MGIS">Climate!#REF!</definedName>
    <definedName name="Mineral_aerosols_and_land_RF">Climate!#REF!</definedName>
    <definedName name="Mixed_Depth">Climate!$D$17</definedName>
    <definedName name="Mixing_Time">Climate!$D$16</definedName>
    <definedName name="MP_RF_Total">Climate!#REF!</definedName>
    <definedName name="N2O_emissions">Climate!#REF!</definedName>
    <definedName name="N2O_N_molar_mass">Climate!$D$52</definedName>
    <definedName name="N2O_radiative_efficiency_coefficient">Climate!$D$91</definedName>
    <definedName name="N2O_reference_conc">Climate!$D$85</definedName>
    <definedName name="Natural_N2O_emissions">Climate!$D$51</definedName>
    <definedName name="NIÑO">Climate!#REF!</definedName>
    <definedName name="NITROGEN_AND_PHOSPHORUS_POLLUTION_INTENSITY_OF_AGRICULTURE">Stressors!$D$90:$AB$92</definedName>
    <definedName name="Oil_Reserves">Climate!#REF!</definedName>
    <definedName name="Oil_Resources">Climate!#REF!</definedName>
    <definedName name="Other_forcings">Climate!#REF!</definedName>
    <definedName name="other_forcings_RCP">Climate!#REF!</definedName>
    <definedName name="Other_halocarbon">Climate!$D$100</definedName>
    <definedName name="OUTPUT_LOSSES_FACTOR">Labour!#REF!</definedName>
    <definedName name="Ozone">Climate!$D$93</definedName>
    <definedName name="PFC_radiative_efficiency">Climate!$D$59</definedName>
    <definedName name="PFCs_emissions">Climate!#REF!</definedName>
    <definedName name="pH_constant_1">Climate!$D$133</definedName>
    <definedName name="pH_constant_2">Climate!$D$134</definedName>
    <definedName name="pH_constant_3">Climate!$D$135</definedName>
    <definedName name="pH_constant_4">Climate!$D$136</definedName>
    <definedName name="ppm">Climate!#REF!</definedName>
    <definedName name="ppt_per_mol">Climate!$D$157</definedName>
    <definedName name="ppt_per_ppb">Climate!$D$156</definedName>
    <definedName name="pre_industrial_value_ppm" localSheetId="6">Climate!$D$29</definedName>
    <definedName name="pre_industrial_value_ppm">#REF!</definedName>
    <definedName name="Prefix_units">Climate!$D$163:$S$178</definedName>
    <definedName name="Preind_Ocean_C_per_meter">Climate!$D$15</definedName>
    <definedName name="preindustrial_C">Climate!$D$27</definedName>
    <definedName name="Preindustrial_CH4">Climate!$D$46</definedName>
    <definedName name="Preindustrial_HFC_conc">Climate!$D$92</definedName>
    <definedName name="Preindustrial_PFC_conc">Climate!$D$57</definedName>
    <definedName name="Preindustrial_SF6_conc">Climate!$D$62</definedName>
    <definedName name="Ref_Buffer_Factor">Climate!$D$14</definedName>
    <definedName name="Reference_CH4_time_constant">Climate!$D$48</definedName>
    <definedName name="Reference_Sensitivity_of_C_from_Permafrost_and_Clathrate_to_Temperature">Climate!#REF!</definedName>
    <definedName name="Reference_Sensitivity_of_CH4_from_Permafrost_and_Clathrate_to_Temperature">Climate!#REF!</definedName>
    <definedName name="Reference_Temperature">Climate!$D$142</definedName>
    <definedName name="Reference_Temperature_Change_for_Effect_of_Warming_on_CH4_from_Respiration">Climate!$D$24</definedName>
    <definedName name="Sea_Level_Sensitivity_from_Ice_Sheet_Melting">Climate!#REF!</definedName>
    <definedName name="seconds_per_day">Climate!$D$154</definedName>
    <definedName name="SECTORAL_SHARES_OF_DAMAGES_IN_CAPITAL_STOCK">Economy!#REF!</definedName>
    <definedName name="selection_ECS_input_method">Climate!#REF!</definedName>
    <definedName name="Sensitivity_of_C_Uptake_to_Temperature">[1]Switches!$C$13</definedName>
    <definedName name="Sensitivity_of_Methane_Emissions_to_Permafrost_and_Clathrate_1_feedback_0_no_feedback">Climate!#REF!</definedName>
    <definedName name="Sensitivity_of_Methane_Emissions_to_Temperature">[1]Switches!$C$14</definedName>
    <definedName name="Sensitivity_of_pCO2_DIC_to_Temperature_Mean">Climate!$D$12</definedName>
    <definedName name="Sensitivity_of_Sea_Level_Rise_to_Temperature">Climate!$D$140</definedName>
    <definedName name="Sensitivity_of_SLR_rate_to_temp_rate">Climate!$D$143</definedName>
    <definedName name="SF6_emissions">Climate!#REF!</definedName>
    <definedName name="SF6_molar_mass">Climate!$D$63</definedName>
    <definedName name="SF6_radiative_efficiency">Climate!$D$64</definedName>
    <definedName name="SHARE_FOSSIL_ENERGY_IN_FOSSIL_ELECTRICITY">Energy!$D$30:$D$32</definedName>
    <definedName name="SHARE_OF_EACH_SECTOR_IN_GOVERNMENT_CONSUMPTION">Economy!$D$52:$AB$52</definedName>
    <definedName name="SHARE_OF_EACH_SECTOR_IN_GROSS_FIXED_CAPITAL_FOMATION">Economy!$D$56:$AB$56</definedName>
    <definedName name="SLR">Climate!#REF!</definedName>
    <definedName name="SLR_ice_sheet_melting_year">Climate!#REF!</definedName>
    <definedName name="specific_heat_capacity_water">Climate!$D$152</definedName>
    <definedName name="Stratospheric_CH4_path_share">Climate!$D$50</definedName>
    <definedName name="Stratospheric_water_vapour">Climate!$D$94</definedName>
    <definedName name="Strength_of_temp_effect_on_land_C_flux_mean">Climate!$D$9</definedName>
    <definedName name="SUBSISTENCE_LAND_INTENSITY">Land!$D$12</definedName>
    <definedName name="Surface_albedo">Climate!$D$98</definedName>
    <definedName name="SWITCH_GWP_TIME_FRAME_SP">Climate!#REF!</definedName>
    <definedName name="TARGET_EXCESS_CAPACITY_OF_THE_CAPITAL_STOCK">Economy!#REF!</definedName>
    <definedName name="temp_1975_1995">Climate!#REF!</definedName>
    <definedName name="temp_1995">Climate!#REF!</definedName>
    <definedName name="Temp_adjustment_for_SLR">Climate!$D$141</definedName>
    <definedName name="temp_AR5">Climate!#REF!</definedName>
    <definedName name="temp_HadCRUT4">Climate!#REF!</definedName>
    <definedName name="temp_NASA">Climate!#REF!</definedName>
    <definedName name="Temperature_Threshold_for_Methane_Emissions_from_Permafrost_and_Clathrate">Climate!#REF!</definedName>
    <definedName name="time_afforestation_index">Climate!#REF!</definedName>
    <definedName name="Time_Const_for_HFC">Climate!$E$69:$E$77</definedName>
    <definedName name="Time_Const_for_N2O">Climate!$D$54</definedName>
    <definedName name="Time_Const_for_PFC">Climate!$D$56</definedName>
    <definedName name="Time_Const_for_SF6">Climate!$D$61</definedName>
    <definedName name="time_index_1975_1995_temp">Climate!#REF!</definedName>
    <definedName name="time_index_ppm">Climate!#REF!</definedName>
    <definedName name="time_index_RCP">Climate!#REF!</definedName>
    <definedName name="time_index_temp_HadCRUT4">Climate!#REF!</definedName>
    <definedName name="time_index_temp_NASA">Climate!#REF!</definedName>
    <definedName name="time_MP_RF_Total">Climate!#REF!</definedName>
    <definedName name="time_other_forcings_historic">Climate!#REF!</definedName>
    <definedName name="time_other_forcings_RCP">Climate!#REF!</definedName>
    <definedName name="time_other_GHG_emissions">Climate!#REF!</definedName>
    <definedName name="time_SLR">Climate!#REF!</definedName>
    <definedName name="Time_to_Commit_RF">Climate!$D$81</definedName>
    <definedName name="TOTAL_EXTRA_INVESTMENT_DUE_TO_SEA_LEVEL_RISE">Economy!#REF!</definedName>
    <definedName name="Tropospheric_CH4_path_share">Climate!$D$49</definedName>
    <definedName name="UNIT_CONVERSION_C_CO2">Climate!$D$148</definedName>
    <definedName name="UNIT_CONVERSION_CH4_C">Climate!$D$149</definedName>
    <definedName name="Upper_threshold_PBI_biogeochemical_flows_nitrogen">Stressors!$E$121</definedName>
    <definedName name="Upper_threshold_PBI_biogeochemical_flows_phosphurus">Stressors!$E$120</definedName>
    <definedName name="Upper_threshold_PBI_biosphere_integrity">Stressors!$E$117</definedName>
    <definedName name="Upper_threshold_PBI_Climate_CO2_concentration">Stressors!$E$115</definedName>
    <definedName name="Upper_threshold_PBI_Climate_CO2_radiative_forcing">Stressors!$E$116</definedName>
    <definedName name="Upper_threshold_PBI_land_system_change">Stressors!$E$122</definedName>
    <definedName name="Upper_threshold_PBI_novel_entities">Stressors!$E$123</definedName>
    <definedName name="Upper_threshold_PBI_ocean_acidification">Stressors!$E$119</definedName>
    <definedName name="Upper_threshold_PBI_ozone">Stressors!$E$118</definedName>
    <definedName name="WATER_CONSUMPTION_INTENSITY_OF_HOUSEHOLDS">Stressors!$D$85</definedName>
    <definedName name="water_density">Climate!$D$151</definedName>
    <definedName name="WATER_INDUSTRIAL_INTENSITY">Stressors!$D$76:$AB$77</definedName>
    <definedName name="WATER_WITHDRAWAL_INDUSTRIAL_INTENSITY">Stressors!$D$81:$AB$81</definedName>
    <definedName name="WATER_WITHDRAWAL_INTENSITY_OF_HOUSEHOLD">Stressors!$D$86</definedName>
    <definedName name="watt_per_J_s">Climate!$D$150</definedName>
    <definedName name="WEIGHTS_FOR_LAND_SYSTEM_CHANGE">Stressors!$D$102:$L$102</definedName>
    <definedName name="Y0_BIRTH_RATE">Population!$D$36:$G$36</definedName>
    <definedName name="Y0_MORTALITY_RATE">Population!$D$28:$W$28</definedName>
    <definedName name="YF_BIRTH_RATE">Population!$D$35:$G$35</definedName>
    <definedName name="YF_MORTALITY_RATE">Population!$D$27:$W$27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9" l="1"/>
  <c r="D124" i="9"/>
  <c r="D46" i="9"/>
  <c r="D149" i="9"/>
  <c r="D154" i="9"/>
  <c r="D163" i="9"/>
  <c r="E163" i="9"/>
  <c r="F163" i="9"/>
  <c r="G163" i="9"/>
  <c r="H163" i="9"/>
  <c r="I163" i="9"/>
  <c r="K163" i="9"/>
  <c r="L163" i="9"/>
  <c r="M163" i="9"/>
  <c r="N163" i="9"/>
  <c r="O163" i="9"/>
  <c r="P163" i="9"/>
  <c r="Q163" i="9"/>
  <c r="R163" i="9"/>
  <c r="S163" i="9"/>
  <c r="D164" i="9"/>
  <c r="E164" i="9"/>
  <c r="F164" i="9"/>
  <c r="G164" i="9"/>
  <c r="H164" i="9"/>
  <c r="I164" i="9"/>
  <c r="K164" i="9"/>
  <c r="L164" i="9"/>
  <c r="M164" i="9"/>
  <c r="N164" i="9"/>
  <c r="O164" i="9"/>
  <c r="P164" i="9"/>
  <c r="Q164" i="9"/>
  <c r="R164" i="9"/>
  <c r="S164" i="9"/>
  <c r="D165" i="9"/>
  <c r="E165" i="9"/>
  <c r="F165" i="9"/>
  <c r="G165" i="9"/>
  <c r="H165" i="9"/>
  <c r="I165" i="9"/>
  <c r="K165" i="9"/>
  <c r="L165" i="9"/>
  <c r="M165" i="9"/>
  <c r="N165" i="9"/>
  <c r="O165" i="9"/>
  <c r="P165" i="9"/>
  <c r="Q165" i="9"/>
  <c r="R165" i="9"/>
  <c r="S165" i="9"/>
  <c r="D166" i="9"/>
  <c r="E166" i="9"/>
  <c r="F166" i="9"/>
  <c r="G166" i="9"/>
  <c r="H166" i="9"/>
  <c r="I166" i="9"/>
  <c r="K166" i="9"/>
  <c r="L166" i="9"/>
  <c r="M166" i="9"/>
  <c r="N166" i="9"/>
  <c r="O166" i="9"/>
  <c r="P166" i="9"/>
  <c r="Q166" i="9"/>
  <c r="R166" i="9"/>
  <c r="S166" i="9"/>
  <c r="D167" i="9"/>
  <c r="E167" i="9"/>
  <c r="F167" i="9"/>
  <c r="G167" i="9"/>
  <c r="H167" i="9"/>
  <c r="I167" i="9"/>
  <c r="K167" i="9"/>
  <c r="L167" i="9"/>
  <c r="M167" i="9"/>
  <c r="N167" i="9"/>
  <c r="O167" i="9"/>
  <c r="P167" i="9"/>
  <c r="Q167" i="9"/>
  <c r="R167" i="9"/>
  <c r="S167" i="9"/>
  <c r="D168" i="9"/>
  <c r="E168" i="9"/>
  <c r="F168" i="9"/>
  <c r="G168" i="9"/>
  <c r="H168" i="9"/>
  <c r="I168" i="9"/>
  <c r="K168" i="9"/>
  <c r="L168" i="9"/>
  <c r="M168" i="9"/>
  <c r="N168" i="9"/>
  <c r="O168" i="9"/>
  <c r="P168" i="9"/>
  <c r="Q168" i="9"/>
  <c r="R168" i="9"/>
  <c r="S168" i="9"/>
  <c r="D169" i="9"/>
  <c r="E169" i="9"/>
  <c r="F169" i="9"/>
  <c r="G169" i="9"/>
  <c r="H169" i="9"/>
  <c r="I169" i="9"/>
  <c r="K169" i="9"/>
  <c r="L169" i="9"/>
  <c r="M169" i="9"/>
  <c r="N169" i="9"/>
  <c r="O169" i="9"/>
  <c r="P169" i="9"/>
  <c r="Q169" i="9"/>
  <c r="R169" i="9"/>
  <c r="S169" i="9"/>
  <c r="D170" i="9"/>
  <c r="E170" i="9"/>
  <c r="F170" i="9"/>
  <c r="G170" i="9"/>
  <c r="H170" i="9"/>
  <c r="I170" i="9"/>
  <c r="K170" i="9"/>
  <c r="L170" i="9"/>
  <c r="M170" i="9"/>
  <c r="N170" i="9"/>
  <c r="O170" i="9"/>
  <c r="P170" i="9"/>
  <c r="Q170" i="9"/>
  <c r="R170" i="9"/>
  <c r="S170" i="9"/>
  <c r="D171" i="9"/>
  <c r="E171" i="9"/>
  <c r="F171" i="9"/>
  <c r="G171" i="9"/>
  <c r="H171" i="9"/>
  <c r="I171" i="9"/>
  <c r="K171" i="9"/>
  <c r="L171" i="9"/>
  <c r="M171" i="9"/>
  <c r="N171" i="9"/>
  <c r="O171" i="9"/>
  <c r="P171" i="9"/>
  <c r="Q171" i="9"/>
  <c r="R171" i="9"/>
  <c r="S171" i="9"/>
  <c r="D172" i="9"/>
  <c r="E172" i="9"/>
  <c r="F172" i="9"/>
  <c r="G172" i="9"/>
  <c r="H172" i="9"/>
  <c r="I172" i="9"/>
  <c r="K172" i="9"/>
  <c r="L172" i="9"/>
  <c r="M172" i="9"/>
  <c r="N172" i="9"/>
  <c r="O172" i="9"/>
  <c r="P172" i="9"/>
  <c r="Q172" i="9"/>
  <c r="R172" i="9"/>
  <c r="S172" i="9"/>
  <c r="D173" i="9"/>
  <c r="E173" i="9"/>
  <c r="F173" i="9"/>
  <c r="G173" i="9"/>
  <c r="H173" i="9"/>
  <c r="I173" i="9"/>
  <c r="K173" i="9"/>
  <c r="L173" i="9"/>
  <c r="M173" i="9"/>
  <c r="N173" i="9"/>
  <c r="O173" i="9"/>
  <c r="P173" i="9"/>
  <c r="Q173" i="9"/>
  <c r="R173" i="9"/>
  <c r="S173" i="9"/>
  <c r="D174" i="9"/>
  <c r="E174" i="9"/>
  <c r="F174" i="9"/>
  <c r="G174" i="9"/>
  <c r="H174" i="9"/>
  <c r="I174" i="9"/>
  <c r="K174" i="9"/>
  <c r="L174" i="9"/>
  <c r="M174" i="9"/>
  <c r="N174" i="9"/>
  <c r="O174" i="9"/>
  <c r="P174" i="9"/>
  <c r="Q174" i="9"/>
  <c r="R174" i="9"/>
  <c r="S174" i="9"/>
  <c r="D175" i="9"/>
  <c r="E175" i="9"/>
  <c r="F175" i="9"/>
  <c r="G175" i="9"/>
  <c r="H175" i="9"/>
  <c r="I175" i="9"/>
  <c r="K175" i="9"/>
  <c r="L175" i="9"/>
  <c r="M175" i="9"/>
  <c r="N175" i="9"/>
  <c r="O175" i="9"/>
  <c r="P175" i="9"/>
  <c r="Q175" i="9"/>
  <c r="R175" i="9"/>
  <c r="S175" i="9"/>
  <c r="D176" i="9"/>
  <c r="E176" i="9"/>
  <c r="F176" i="9"/>
  <c r="G176" i="9"/>
  <c r="H176" i="9"/>
  <c r="I176" i="9"/>
  <c r="K176" i="9"/>
  <c r="L176" i="9"/>
  <c r="M176" i="9"/>
  <c r="N176" i="9"/>
  <c r="O176" i="9"/>
  <c r="P176" i="9"/>
  <c r="Q176" i="9"/>
  <c r="R176" i="9"/>
  <c r="S176" i="9"/>
  <c r="D177" i="9"/>
  <c r="E177" i="9"/>
  <c r="F177" i="9"/>
  <c r="G177" i="9"/>
  <c r="H177" i="9"/>
  <c r="I177" i="9"/>
  <c r="K177" i="9"/>
  <c r="L177" i="9"/>
  <c r="M177" i="9"/>
  <c r="N177" i="9"/>
  <c r="O177" i="9"/>
  <c r="P177" i="9"/>
  <c r="Q177" i="9"/>
  <c r="R177" i="9"/>
  <c r="S177" i="9"/>
  <c r="D178" i="9"/>
  <c r="E178" i="9"/>
  <c r="F178" i="9"/>
  <c r="G178" i="9"/>
  <c r="H178" i="9"/>
  <c r="I178" i="9"/>
  <c r="K178" i="9"/>
  <c r="L178" i="9"/>
  <c r="M178" i="9"/>
  <c r="N178" i="9"/>
  <c r="O178" i="9"/>
  <c r="P178" i="9"/>
  <c r="Q178" i="9"/>
  <c r="R178" i="9"/>
  <c r="S178" i="9"/>
  <c r="E23" i="1" l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D20" i="6"/>
  <c r="D49" i="1" l="1"/>
  <c r="D30" i="1"/>
  <c r="E30" i="1"/>
  <c r="E49" i="1" l="1"/>
  <c r="F49" i="1"/>
  <c r="G49" i="1"/>
  <c r="H49" i="1"/>
  <c r="I4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</calcChain>
</file>

<file path=xl/sharedStrings.xml><?xml version="1.0" encoding="utf-8"?>
<sst xmlns="http://schemas.openxmlformats.org/spreadsheetml/2006/main" count="1118" uniqueCount="518">
  <si>
    <t>Description</t>
  </si>
  <si>
    <t>Units</t>
  </si>
  <si>
    <t>ag_0_4</t>
  </si>
  <si>
    <t>ag_5_9</t>
  </si>
  <si>
    <t>ag_10_14</t>
  </si>
  <si>
    <t>ag_15_19</t>
  </si>
  <si>
    <t>ag_20_24</t>
  </si>
  <si>
    <t>ag_25_29</t>
  </si>
  <si>
    <t>ag_30_34</t>
  </si>
  <si>
    <t>ag_35_39</t>
  </si>
  <si>
    <t>ag_40_44</t>
  </si>
  <si>
    <t>ag_45_49</t>
  </si>
  <si>
    <t>ag_50_54</t>
  </si>
  <si>
    <t>ag_55_59</t>
  </si>
  <si>
    <t>ag_60_64</t>
  </si>
  <si>
    <t>ag_65_69</t>
  </si>
  <si>
    <t>ag_70_74</t>
  </si>
  <si>
    <t>ag_75_79</t>
  </si>
  <si>
    <t>ag_80_84</t>
  </si>
  <si>
    <t>ag_85_89</t>
  </si>
  <si>
    <t>ag_90_94</t>
  </si>
  <si>
    <t>ag_95_plus</t>
  </si>
  <si>
    <t>Thousand people</t>
  </si>
  <si>
    <t>param_0_4</t>
  </si>
  <si>
    <t>param_5_9</t>
  </si>
  <si>
    <t>param_10_14</t>
  </si>
  <si>
    <t>param_15_19</t>
  </si>
  <si>
    <t>param_20_24</t>
  </si>
  <si>
    <t>param_25_29</t>
  </si>
  <si>
    <t>param_30_34</t>
  </si>
  <si>
    <t>param_35_39</t>
  </si>
  <si>
    <t>param_40_44</t>
  </si>
  <si>
    <t>param_45_49</t>
  </si>
  <si>
    <t>param_50_54</t>
  </si>
  <si>
    <t>param_55_59</t>
  </si>
  <si>
    <t>param_60_64</t>
  </si>
  <si>
    <t>param_65_69</t>
  </si>
  <si>
    <t>param_70_74</t>
  </si>
  <si>
    <t>param_75_79</t>
  </si>
  <si>
    <t>param_80_84</t>
  </si>
  <si>
    <t>param_85_89</t>
  </si>
  <si>
    <t>param_90_94</t>
  </si>
  <si>
    <t>yf</t>
  </si>
  <si>
    <t>y0</t>
  </si>
  <si>
    <t>log_alpha</t>
  </si>
  <si>
    <t>param_fr_15_19</t>
  </si>
  <si>
    <t>param_fr_20_24</t>
  </si>
  <si>
    <t>param_fr_25_29</t>
  </si>
  <si>
    <t>param_fr_40_44</t>
  </si>
  <si>
    <t>alpha</t>
  </si>
  <si>
    <t>param_fr_30_34_log</t>
  </si>
  <si>
    <t>param_fr_35_39_lm</t>
  </si>
  <si>
    <t>beta1</t>
  </si>
  <si>
    <t>beta2</t>
  </si>
  <si>
    <t>param_95plus</t>
  </si>
  <si>
    <t>INITIAL POPULATION</t>
  </si>
  <si>
    <t>INITIAL A MATRIX</t>
  </si>
  <si>
    <t>Consumption share</t>
  </si>
  <si>
    <t>Consumption per capita</t>
  </si>
  <si>
    <t>RELATION 1</t>
  </si>
  <si>
    <t>RELATION 2</t>
  </si>
  <si>
    <t>RELATION 3</t>
  </si>
  <si>
    <t>Center</t>
  </si>
  <si>
    <t>Periphery</t>
  </si>
  <si>
    <t>Semiperiphery</t>
  </si>
  <si>
    <t>High</t>
  </si>
  <si>
    <t>Medium</t>
  </si>
  <si>
    <t>Low</t>
  </si>
  <si>
    <t>Subsistence</t>
  </si>
  <si>
    <t>INITIAL CONSUMPTION PER CAPITA</t>
  </si>
  <si>
    <t>SECTORAL CONSUMPTION SHARE FOR EACH CONSUMPTION PER CAPITA</t>
  </si>
  <si>
    <t>INITIAL OUTPUT</t>
  </si>
  <si>
    <t>beta0_under_subsistence</t>
  </si>
  <si>
    <t>beta1_under_subsistence</t>
  </si>
  <si>
    <t>Labour intensity</t>
  </si>
  <si>
    <t>INITIAL INTENSITIES</t>
  </si>
  <si>
    <t>EJ/Mio€</t>
  </si>
  <si>
    <t>kt/mio€</t>
  </si>
  <si>
    <t>MATERIAL EXTRACTION USED</t>
  </si>
  <si>
    <t>MATERIAL EXTRACTION UNUSED</t>
  </si>
  <si>
    <t>INDUSTRIAL ROUNDWOOD</t>
  </si>
  <si>
    <t>Green water consumption</t>
  </si>
  <si>
    <t>Blue water consumption</t>
  </si>
  <si>
    <t>Blue water withdrawal</t>
  </si>
  <si>
    <t>mm3/mio€</t>
  </si>
  <si>
    <t>Domestic blue water consumption</t>
  </si>
  <si>
    <t>Domestic blue water withdrawal</t>
  </si>
  <si>
    <t>WATER INTENSITY OF HOUSEHOLD CONSUMPTION</t>
  </si>
  <si>
    <t>kg/mio€</t>
  </si>
  <si>
    <t>NITROGEN AND PHOSPHORUS POLLUTION INTENSITY OF AGRICULTURE</t>
  </si>
  <si>
    <t>10−12</t>
  </si>
  <si>
    <t>10−9</t>
  </si>
  <si>
    <t>10−6</t>
  </si>
  <si>
    <t>10−3</t>
  </si>
  <si>
    <t>10−2</t>
  </si>
  <si>
    <t>10−1</t>
  </si>
  <si>
    <t>101</t>
  </si>
  <si>
    <t>102</t>
  </si>
  <si>
    <t>103</t>
  </si>
  <si>
    <t>106</t>
  </si>
  <si>
    <t>109</t>
  </si>
  <si>
    <t>1012</t>
  </si>
  <si>
    <t>1015</t>
  </si>
  <si>
    <t>1018</t>
  </si>
  <si>
    <t>1021</t>
  </si>
  <si>
    <t>p</t>
  </si>
  <si>
    <t>n</t>
  </si>
  <si>
    <t>µ</t>
  </si>
  <si>
    <t>m</t>
  </si>
  <si>
    <t>c</t>
  </si>
  <si>
    <t>d</t>
  </si>
  <si>
    <t>da</t>
  </si>
  <si>
    <t>h</t>
  </si>
  <si>
    <t>k</t>
  </si>
  <si>
    <t>M</t>
  </si>
  <si>
    <t>G</t>
  </si>
  <si>
    <t>T</t>
  </si>
  <si>
    <t>P</t>
  </si>
  <si>
    <t>E</t>
  </si>
  <si>
    <t>Z</t>
  </si>
  <si>
    <t>pico</t>
  </si>
  <si>
    <t>nano</t>
  </si>
  <si>
    <t>micro</t>
  </si>
  <si>
    <t>mili</t>
  </si>
  <si>
    <t>centi</t>
  </si>
  <si>
    <t>deci</t>
  </si>
  <si>
    <t>deca</t>
  </si>
  <si>
    <t>hecto</t>
  </si>
  <si>
    <t>kilo</t>
  </si>
  <si>
    <t>mega, million</t>
  </si>
  <si>
    <t>giga</t>
  </si>
  <si>
    <t>tera</t>
  </si>
  <si>
    <t>peta</t>
  </si>
  <si>
    <t>exa</t>
  </si>
  <si>
    <t>zetta</t>
  </si>
  <si>
    <t>Total Land</t>
  </si>
  <si>
    <t>Value</t>
  </si>
  <si>
    <t>Dmnl</t>
  </si>
  <si>
    <t>CONVERSION MONETARY OUTPUT TO ENERGY</t>
  </si>
  <si>
    <t>CONVERSION MONETARY OUTPUT TO NON ENERGY USE OF FOSSIL FUELS</t>
  </si>
  <si>
    <t>CO2</t>
  </si>
  <si>
    <t>MtCO2/mio€</t>
  </si>
  <si>
    <t>CH4</t>
  </si>
  <si>
    <t>MtCH4/mio€</t>
  </si>
  <si>
    <t>N2O</t>
  </si>
  <si>
    <t>MtN2O/mio€</t>
  </si>
  <si>
    <t>SF6</t>
  </si>
  <si>
    <t>tonsSF6/mio€</t>
  </si>
  <si>
    <t>HFC</t>
  </si>
  <si>
    <t>tons/mio€</t>
  </si>
  <si>
    <t>PFC</t>
  </si>
  <si>
    <t>Mt CO2/km2</t>
  </si>
  <si>
    <t>energyland</t>
  </si>
  <si>
    <t>other land</t>
  </si>
  <si>
    <t>infrastructure land</t>
  </si>
  <si>
    <t>GREENHOUSE GAS EMISSIONS INTENSITY</t>
  </si>
  <si>
    <t>LAND USE CHANGE EMISSIONS INTENSITY</t>
  </si>
  <si>
    <t>km^2/mio€</t>
  </si>
  <si>
    <t>INITIAL SECTORIAL LAND INTENSITIES</t>
  </si>
  <si>
    <t>Subsistence foodland</t>
  </si>
  <si>
    <t>INFRAESTRUCTURE LAND INTENSITY</t>
  </si>
  <si>
    <t>INITIAL POPULATION IN FORMAL ECONOMY</t>
  </si>
  <si>
    <t>INITIAL POPULATION IN SUBSISTENCE</t>
  </si>
  <si>
    <t>Bauxite and aluminium</t>
  </si>
  <si>
    <t>Copper</t>
  </si>
  <si>
    <t>Gold</t>
  </si>
  <si>
    <t>Iron</t>
  </si>
  <si>
    <t>Lead</t>
  </si>
  <si>
    <t>Nickel</t>
  </si>
  <si>
    <t>Other non-ferrous metal</t>
  </si>
  <si>
    <t>PGM</t>
  </si>
  <si>
    <t>Silver</t>
  </si>
  <si>
    <t>Tin</t>
  </si>
  <si>
    <t>Zinc</t>
  </si>
  <si>
    <t>Building stones</t>
  </si>
  <si>
    <t>Chemical and fertilizer minerals</t>
  </si>
  <si>
    <t>Clays and kaolin</t>
  </si>
  <si>
    <t>Gravel and sand</t>
  </si>
  <si>
    <t>Limestone, gypsum, chalk, dolomite</t>
  </si>
  <si>
    <t>Other minerals</t>
  </si>
  <si>
    <t>Salt</t>
  </si>
  <si>
    <t>Slate</t>
  </si>
  <si>
    <t>WATER CONSUMPTION INDUSTRIAL INTENSITY</t>
  </si>
  <si>
    <t>WATER WITHDRAWAL INDUSTRIAL INTENSITY</t>
  </si>
  <si>
    <t>Nitrogen_water</t>
  </si>
  <si>
    <t>Phosphorus_soil</t>
  </si>
  <si>
    <t>Phosphorus_water</t>
  </si>
  <si>
    <t>AIR POLLUTION SECTORIAL INTENSITY</t>
  </si>
  <si>
    <t>NH3</t>
  </si>
  <si>
    <t>PM10</t>
  </si>
  <si>
    <t>GOVERNMENT CONSUMPTION AS SHARE OF HOUSEHOLD CONSUMPTION</t>
  </si>
  <si>
    <t>Centre</t>
  </si>
  <si>
    <t>Oil emissions</t>
  </si>
  <si>
    <t>mio h / mio €</t>
  </si>
  <si>
    <t>km^2</t>
  </si>
  <si>
    <t>Infrastructure land</t>
  </si>
  <si>
    <t>km^2/person living in subsistence</t>
  </si>
  <si>
    <t>Mt_CO2/PE_EJ_coal</t>
  </si>
  <si>
    <t>Mt_CO2/PE_EJ_oil</t>
  </si>
  <si>
    <t>Mt_CO2/PE_EJ_gas</t>
  </si>
  <si>
    <t>mio€</t>
  </si>
  <si>
    <t>Initial (2019) population of the three model regions.</t>
  </si>
  <si>
    <t>Initial population (2019) inserted in the world economy of the three regions of the model.</t>
  </si>
  <si>
    <t>Initial (2019) population in subsistence status of the three model regions.</t>
  </si>
  <si>
    <t>Parameters for calculating five-year mortality rates across different population groups.</t>
  </si>
  <si>
    <t>Parameters for calculating five-year birth rates across different population groups.</t>
  </si>
  <si>
    <t>BIRTH RATE PARAMETERS</t>
  </si>
  <si>
    <t>MORTALITY RATE PARAMETERS</t>
  </si>
  <si>
    <t>Initial values of the elements of matrix A (25 sectors).</t>
  </si>
  <si>
    <t>Share of total consumption corresponding to the different sectors according to consumption level.</t>
  </si>
  <si>
    <t>Initial per capita consumption by class and region.</t>
  </si>
  <si>
    <t>Government consumption as a share of total household consumption per region.</t>
  </si>
  <si>
    <t>2019-€</t>
  </si>
  <si>
    <t>INITIAL SUBSISTENCE LAND INTENSITY</t>
  </si>
  <si>
    <t>AVERAGE AGE PER COHORT</t>
  </si>
  <si>
    <t>Average age per cohort</t>
  </si>
  <si>
    <t>age</t>
  </si>
  <si>
    <t>Investment speed parameter</t>
  </si>
  <si>
    <t>PLANETARY BOUNDARIES CORRECTION FACTORS</t>
  </si>
  <si>
    <t>dmnl</t>
  </si>
  <si>
    <t>shrub</t>
  </si>
  <si>
    <t>infrastructure</t>
  </si>
  <si>
    <t>Weights for land system change</t>
  </si>
  <si>
    <t>PLANETARY BOUNDARIES THRESHOLD VALUES</t>
  </si>
  <si>
    <t>lower</t>
  </si>
  <si>
    <t>upper</t>
  </si>
  <si>
    <t>Biosphere integrity</t>
  </si>
  <si>
    <t>Stratospheric ozone depletion</t>
  </si>
  <si>
    <t>Ocean acidification</t>
  </si>
  <si>
    <t>Land system change</t>
  </si>
  <si>
    <t>Novel entities</t>
  </si>
  <si>
    <t>SHARE ENERGY TYPES IN FOSSIL ELECTRICITY</t>
  </si>
  <si>
    <t>CONVERSION FROM FINAL ENERGY TO PRIMARY ENERGY (WITHOUT FOSSIL ELECTRICITY)</t>
  </si>
  <si>
    <t>CONVERSION FROM FOSSIL ELECTRICITY  TO PRIMARY ENERGY</t>
  </si>
  <si>
    <t>C in Permafrost (initial)</t>
  </si>
  <si>
    <t>GtC</t>
  </si>
  <si>
    <t>Humus Res Time</t>
  </si>
  <si>
    <t>Year</t>
  </si>
  <si>
    <t>Humification Fraction</t>
  </si>
  <si>
    <t>Biomass Res Time</t>
  </si>
  <si>
    <t>Init NPP</t>
  </si>
  <si>
    <t>GtC/Year</t>
  </si>
  <si>
    <t>Strength of temp effect on land C flux mean</t>
  </si>
  <si>
    <t>1/DegreesC</t>
  </si>
  <si>
    <t>Biostim coeff index</t>
  </si>
  <si>
    <t>Biostim coeff mean</t>
  </si>
  <si>
    <t>Sensitivity of pCO2 DIC to Temperature Mean</t>
  </si>
  <si>
    <t>Buff C Coeff</t>
  </si>
  <si>
    <t>Ref Buffer Factor</t>
  </si>
  <si>
    <t>Preind Ocean C per meter</t>
  </si>
  <si>
    <t>GtC/meter</t>
  </si>
  <si>
    <t>Mixing Time</t>
  </si>
  <si>
    <t>Mixed Depth</t>
  </si>
  <si>
    <t>meter</t>
  </si>
  <si>
    <t>Layer1</t>
  </si>
  <si>
    <t>Layer2</t>
  </si>
  <si>
    <t>Layer3</t>
  </si>
  <si>
    <t>Layer4</t>
  </si>
  <si>
    <t>Eddy diff coeff index</t>
  </si>
  <si>
    <t>Eddy diff mean</t>
  </si>
  <si>
    <t>meter*meter/Year</t>
  </si>
  <si>
    <t>Reference Temperature Change for Effect of Warming on CH4 from Respiration</t>
  </si>
  <si>
    <t>DegreesC</t>
  </si>
  <si>
    <t>CH4 Generation Rate from Humus</t>
  </si>
  <si>
    <t>1/Year</t>
  </si>
  <si>
    <t>CH4 Generation Rate from Biomass</t>
  </si>
  <si>
    <t>preindustrial C</t>
  </si>
  <si>
    <t>init CO2 in Atmos ppm</t>
  </si>
  <si>
    <t>ppm</t>
  </si>
  <si>
    <t>pre industrial value ppm</t>
  </si>
  <si>
    <t>CO2 Rad Force C-ROADS (modified according to IPCC WG1 AR6)</t>
  </si>
  <si>
    <t>w/m2</t>
  </si>
  <si>
    <t>Heat Diffusion Covar</t>
  </si>
  <si>
    <t>Heat Transfer Rate</t>
  </si>
  <si>
    <t>watt/(meter*meter)/DegreesC</t>
  </si>
  <si>
    <t>init Atmos UOcean Temp_based_on_1850_period</t>
  </si>
  <si>
    <t>area</t>
  </si>
  <si>
    <t>meter*meter</t>
  </si>
  <si>
    <t>land thickness</t>
  </si>
  <si>
    <t>land area fraction</t>
  </si>
  <si>
    <t>fraction</t>
  </si>
  <si>
    <t>mass heat cap</t>
  </si>
  <si>
    <t>J/kg/DegreesC</t>
  </si>
  <si>
    <t>density</t>
  </si>
  <si>
    <t>kg/meter/meter/meter</t>
  </si>
  <si>
    <t>Initial CH4 conc</t>
  </si>
  <si>
    <t>pbb</t>
  </si>
  <si>
    <t>Preindustrial CH4</t>
  </si>
  <si>
    <t>Mtons</t>
  </si>
  <si>
    <t>CH4 molar mass</t>
  </si>
  <si>
    <t>g/mole</t>
  </si>
  <si>
    <t>Reference CH4 time constant</t>
  </si>
  <si>
    <t xml:space="preserve">Year </t>
  </si>
  <si>
    <t>Tropospheric CH4 path share</t>
  </si>
  <si>
    <t xml:space="preserve">Dmnl </t>
  </si>
  <si>
    <t>Stratospheric CH4 path share</t>
  </si>
  <si>
    <t>Natural N2O emissions</t>
  </si>
  <si>
    <t>Mton/Year</t>
  </si>
  <si>
    <t>N2O-N molar mass</t>
  </si>
  <si>
    <t>Initial N2O conc</t>
  </si>
  <si>
    <t>Time Const for N2O</t>
  </si>
  <si>
    <t>Years</t>
  </si>
  <si>
    <t>Init PFC in Atm</t>
  </si>
  <si>
    <t>ppt</t>
  </si>
  <si>
    <t>Time Const for PFC</t>
  </si>
  <si>
    <t>Preindustrial PFC conc</t>
  </si>
  <si>
    <t>CF4 molar mass</t>
  </si>
  <si>
    <t>PFC radiative efficiency</t>
  </si>
  <si>
    <t>watt/(ppb*meter*meter)</t>
  </si>
  <si>
    <t>Initial SF6 con</t>
  </si>
  <si>
    <t>Time Const for SF6</t>
  </si>
  <si>
    <t>Preindustrial SF6 conc</t>
  </si>
  <si>
    <t>SF6 molar mass</t>
  </si>
  <si>
    <t>SF6 radiative efficiency</t>
  </si>
  <si>
    <t>Initial HFC con</t>
  </si>
  <si>
    <t>HFC molar mass</t>
  </si>
  <si>
    <t>Time Const for HFC</t>
  </si>
  <si>
    <t>HFC radiative efficiency</t>
  </si>
  <si>
    <t>HFC134a</t>
  </si>
  <si>
    <t>HFC23</t>
  </si>
  <si>
    <t>HFC32</t>
  </si>
  <si>
    <t>HFC125</t>
  </si>
  <si>
    <t>HFC143a</t>
  </si>
  <si>
    <t>HFC152a</t>
  </si>
  <si>
    <t>HFC227ea</t>
  </si>
  <si>
    <t>HFC245ca</t>
  </si>
  <si>
    <t>HFC4310mee</t>
  </si>
  <si>
    <t>Preindustrial HFC conc</t>
  </si>
  <si>
    <t>Time to Commit RF</t>
  </si>
  <si>
    <t>CH4 radiative efficiency coefficient</t>
  </si>
  <si>
    <t>watt/(meter*meter)</t>
  </si>
  <si>
    <t>CH4 reference conc</t>
  </si>
  <si>
    <t>ppb</t>
  </si>
  <si>
    <t>CH4 N2O unit adj</t>
  </si>
  <si>
    <t>1/ppb</t>
  </si>
  <si>
    <t>N2O reference conc</t>
  </si>
  <si>
    <t>CH4 N2O interaction coeffient</t>
  </si>
  <si>
    <t>CH4 N2O inter coef 2</t>
  </si>
  <si>
    <t>CH4 N2O inter coef 3</t>
  </si>
  <si>
    <t>CH4 N20 inter exp</t>
  </si>
  <si>
    <t>CH4 N20 inter exp 2</t>
  </si>
  <si>
    <t>N2O radiative efficiency coefficient</t>
  </si>
  <si>
    <t>Tropospheric ozone &amp; stratospheric ozone</t>
  </si>
  <si>
    <t>Stratospheric water vapour</t>
  </si>
  <si>
    <t>Aerosol-radiation interactions</t>
  </si>
  <si>
    <t>aerosol-cloud interactions</t>
  </si>
  <si>
    <t>land use</t>
  </si>
  <si>
    <t>surface albedo</t>
  </si>
  <si>
    <t>combined contrails and aviation-induced cirrus</t>
  </si>
  <si>
    <t>pH</t>
  </si>
  <si>
    <t>pH constant 1</t>
  </si>
  <si>
    <t>pH constant 2</t>
  </si>
  <si>
    <t>pH/ppm</t>
  </si>
  <si>
    <t>pH constant 3</t>
  </si>
  <si>
    <t>pH/(ppm*ppm)</t>
  </si>
  <si>
    <t>pH constant 4</t>
  </si>
  <si>
    <t>pH/(ppm*ppm*ppm)</t>
  </si>
  <si>
    <t>Sensitivity of Sea Level Rise to Temperature</t>
  </si>
  <si>
    <t>mm/(Year*DegreeC)</t>
  </si>
  <si>
    <t>Temp adjustment for SLR</t>
  </si>
  <si>
    <t>Reference Temperature</t>
  </si>
  <si>
    <t>Sensitivity of SLR rate to temp rate</t>
  </si>
  <si>
    <t>mm/DegreesC</t>
  </si>
  <si>
    <t>Initial Sea Level Rise in 2019 (with respect to preindustrial times)</t>
  </si>
  <si>
    <t>mm</t>
  </si>
  <si>
    <t>Init C in Humus</t>
  </si>
  <si>
    <t>Init C in Biomass</t>
  </si>
  <si>
    <t>Init C in Mixed Ocean per meter</t>
  </si>
  <si>
    <t>Layer1 temp</t>
  </si>
  <si>
    <t>Layer2 temp</t>
  </si>
  <si>
    <t>Layer3 temp</t>
  </si>
  <si>
    <t>Layer4 temp</t>
  </si>
  <si>
    <t>PFCs</t>
  </si>
  <si>
    <t>Other_halocarbon_RF</t>
  </si>
  <si>
    <t>CONSTANTS</t>
  </si>
  <si>
    <t>C PER CO2</t>
  </si>
  <si>
    <t>gC/gCO2</t>
  </si>
  <si>
    <t>CH4 per C</t>
  </si>
  <si>
    <t>gCH4/gtC</t>
  </si>
  <si>
    <t>watt per J s</t>
  </si>
  <si>
    <t>watt/(J/s)</t>
  </si>
  <si>
    <t>water density</t>
  </si>
  <si>
    <t>kg/m3</t>
  </si>
  <si>
    <t>specific_heat_capacity_water</t>
  </si>
  <si>
    <t>days per year</t>
  </si>
  <si>
    <t>days/year</t>
  </si>
  <si>
    <t>seconds per day</t>
  </si>
  <si>
    <t>s/d</t>
  </si>
  <si>
    <t>GtC per ppm</t>
  </si>
  <si>
    <t>GtC/ppm</t>
  </si>
  <si>
    <t>ppt per ppb</t>
  </si>
  <si>
    <t>ppt/ppb</t>
  </si>
  <si>
    <t>ppt per mol</t>
  </si>
  <si>
    <t>ppt/mol</t>
  </si>
  <si>
    <r>
      <t>10</t>
    </r>
    <r>
      <rPr>
        <b/>
        <vertAlign val="superscript"/>
        <sz val="11"/>
        <rFont val="Calibri"/>
        <family val="2"/>
        <scheme val="minor"/>
      </rPr>
      <t>−12</t>
    </r>
  </si>
  <si>
    <r>
      <t>10</t>
    </r>
    <r>
      <rPr>
        <b/>
        <vertAlign val="superscript"/>
        <sz val="11"/>
        <rFont val="Calibri"/>
        <family val="2"/>
        <scheme val="minor"/>
      </rPr>
      <t>−9</t>
    </r>
  </si>
  <si>
    <r>
      <t>10</t>
    </r>
    <r>
      <rPr>
        <b/>
        <vertAlign val="superscript"/>
        <sz val="11"/>
        <rFont val="Calibri"/>
        <family val="2"/>
        <scheme val="minor"/>
      </rPr>
      <t>−6</t>
    </r>
  </si>
  <si>
    <r>
      <t>10</t>
    </r>
    <r>
      <rPr>
        <b/>
        <vertAlign val="superscript"/>
        <sz val="11"/>
        <rFont val="Calibri"/>
        <family val="2"/>
        <scheme val="minor"/>
      </rPr>
      <t>−3</t>
    </r>
  </si>
  <si>
    <r>
      <t>10</t>
    </r>
    <r>
      <rPr>
        <b/>
        <vertAlign val="superscript"/>
        <sz val="11"/>
        <rFont val="Calibri"/>
        <family val="2"/>
        <scheme val="minor"/>
      </rPr>
      <t>−2</t>
    </r>
  </si>
  <si>
    <r>
      <t>10</t>
    </r>
    <r>
      <rPr>
        <b/>
        <vertAlign val="superscript"/>
        <sz val="11"/>
        <rFont val="Calibri"/>
        <family val="2"/>
        <scheme val="minor"/>
      </rPr>
      <t>−1</t>
    </r>
  </si>
  <si>
    <r>
      <t>10</t>
    </r>
    <r>
      <rPr>
        <b/>
        <vertAlign val="superscript"/>
        <sz val="11"/>
        <rFont val="Calibri"/>
        <family val="2"/>
        <scheme val="minor"/>
      </rPr>
      <t>1</t>
    </r>
  </si>
  <si>
    <r>
      <t>10</t>
    </r>
    <r>
      <rPr>
        <b/>
        <vertAlign val="superscript"/>
        <sz val="11"/>
        <rFont val="Calibri"/>
        <family val="2"/>
        <scheme val="minor"/>
      </rPr>
      <t>2</t>
    </r>
  </si>
  <si>
    <r>
      <t>10</t>
    </r>
    <r>
      <rPr>
        <b/>
        <vertAlign val="superscript"/>
        <sz val="11"/>
        <rFont val="Calibri"/>
        <family val="2"/>
        <scheme val="minor"/>
      </rPr>
      <t>3</t>
    </r>
  </si>
  <si>
    <r>
      <t>10</t>
    </r>
    <r>
      <rPr>
        <b/>
        <vertAlign val="superscript"/>
        <sz val="11"/>
        <rFont val="Calibri"/>
        <family val="2"/>
        <scheme val="minor"/>
      </rPr>
      <t>6</t>
    </r>
  </si>
  <si>
    <r>
      <t>10</t>
    </r>
    <r>
      <rPr>
        <b/>
        <vertAlign val="superscript"/>
        <sz val="11"/>
        <rFont val="Calibri"/>
        <family val="2"/>
        <scheme val="minor"/>
      </rPr>
      <t>9</t>
    </r>
  </si>
  <si>
    <r>
      <t>10</t>
    </r>
    <r>
      <rPr>
        <b/>
        <vertAlign val="superscript"/>
        <sz val="11"/>
        <rFont val="Calibri"/>
        <family val="2"/>
        <scheme val="minor"/>
      </rPr>
      <t>12</t>
    </r>
  </si>
  <si>
    <r>
      <t>10</t>
    </r>
    <r>
      <rPr>
        <b/>
        <vertAlign val="superscript"/>
        <sz val="11"/>
        <rFont val="Calibri"/>
        <family val="2"/>
        <scheme val="minor"/>
      </rPr>
      <t>15</t>
    </r>
  </si>
  <si>
    <r>
      <t>10</t>
    </r>
    <r>
      <rPr>
        <b/>
        <vertAlign val="superscript"/>
        <sz val="11"/>
        <rFont val="Calibri"/>
        <family val="2"/>
        <scheme val="minor"/>
      </rPr>
      <t>18</t>
    </r>
  </si>
  <si>
    <r>
      <t>10</t>
    </r>
    <r>
      <rPr>
        <b/>
        <vertAlign val="superscript"/>
        <sz val="11"/>
        <rFont val="Calibri"/>
        <family val="2"/>
        <scheme val="minor"/>
      </rPr>
      <t>21</t>
    </r>
  </si>
  <si>
    <t>-</t>
  </si>
  <si>
    <t>Share of each sector in government consumption at the beginning of the simulation.</t>
  </si>
  <si>
    <t>Share of each sector in gross fixed capital formation.</t>
  </si>
  <si>
    <t>Initial output</t>
  </si>
  <si>
    <t>Output by sector at the start of the simulation.</t>
  </si>
  <si>
    <t>Share by sector</t>
  </si>
  <si>
    <t>Energy land</t>
  </si>
  <si>
    <t>Food land</t>
  </si>
  <si>
    <t>Forest land</t>
  </si>
  <si>
    <t>Other land</t>
  </si>
  <si>
    <t>Natural gas emissions</t>
  </si>
  <si>
    <t>Coal emissions</t>
  </si>
  <si>
    <t>foodland capitalism</t>
  </si>
  <si>
    <t>foodland subsistence</t>
  </si>
  <si>
    <t>Nitrogen water</t>
  </si>
  <si>
    <t>Phosphorus soil</t>
  </si>
  <si>
    <t>Phosphorus water</t>
  </si>
  <si>
    <t>PM2.5</t>
  </si>
  <si>
    <t>Correction P soil</t>
  </si>
  <si>
    <t>Correction N fixation</t>
  </si>
  <si>
    <t>Aragonite saturation correction factor</t>
  </si>
  <si>
    <t>Climate change ppm</t>
  </si>
  <si>
    <t>Climate change forcing</t>
  </si>
  <si>
    <t>Biogeochemical flows P to soils</t>
  </si>
  <si>
    <t>Biogeochemical flows N extraction</t>
  </si>
  <si>
    <t>FOSSIL FUEL EMISSION INTENSITY (ENERGY USE)</t>
  </si>
  <si>
    <t>beta0 under subsistence</t>
  </si>
  <si>
    <t>beta1 under subsistence</t>
  </si>
  <si>
    <t>CARBON CYCLE PARAMETERS</t>
  </si>
  <si>
    <t>HFC PARAMETERS</t>
  </si>
  <si>
    <t>PH OCEAN</t>
  </si>
  <si>
    <t>SEA LEVEL RISE</t>
  </si>
  <si>
    <t>TOTAL GHG EMISSIONS PARAMETERS. GLOBAL WARMING POTENTIALS</t>
  </si>
  <si>
    <t>INITIAL SECTORAL CAPITAL DEPRECIATION</t>
  </si>
  <si>
    <t>Depreciation</t>
  </si>
  <si>
    <t>OTHER GHG CYCLE PARAMETERS</t>
  </si>
  <si>
    <t>RADIATIVE FORCING PARAMETERS</t>
  </si>
  <si>
    <t>TEMPERATURE CHANGE PARAMETERS</t>
  </si>
  <si>
    <t>PREFIX UNITS</t>
  </si>
  <si>
    <t>Depreciation of capital in each sector in the initial year of simulation.</t>
  </si>
  <si>
    <t>Ratio between hours worked and output in each sector.</t>
  </si>
  <si>
    <t>Parameters for calculating the non-energy use of fossil fuels from output by sector.</t>
  </si>
  <si>
    <t>Oil</t>
  </si>
  <si>
    <t>Parameters for calculating the final energy use of fossil fuels using output per sector.</t>
  </si>
  <si>
    <t>Natural gas</t>
  </si>
  <si>
    <t>Coal</t>
  </si>
  <si>
    <t>Electricity</t>
  </si>
  <si>
    <t>Other</t>
  </si>
  <si>
    <t>Biofuels and waste</t>
  </si>
  <si>
    <t>Nuclear energy</t>
  </si>
  <si>
    <t>Share of electricity produced by each type of fossil fuel.</t>
  </si>
  <si>
    <t>Conversion of final energy into primary energy, excluding electricity generation from fossil fuels.</t>
  </si>
  <si>
    <t>Conversion of the final energy used for electricity production into primary energy.</t>
  </si>
  <si>
    <t>Ratio between area of each type of productive land and output in each sector.</t>
  </si>
  <si>
    <t>Ratio between area of subsistence foodland and people in subsistence.</t>
  </si>
  <si>
    <t>Productive forest</t>
  </si>
  <si>
    <t>INITIAL FOREST AND DISPOSABLE LAND</t>
  </si>
  <si>
    <t>Primary forest</t>
  </si>
  <si>
    <t>Unused secondary forest</t>
  </si>
  <si>
    <t>Ratio between area of infraestructure land and consumption.</t>
  </si>
  <si>
    <t>Initial value of the different types of forest and total land available for different land uses.</t>
  </si>
  <si>
    <t>POPULATION</t>
  </si>
  <si>
    <t>INITIAL SECTORAL GOVERNMENT CONSUMPTION SHARE</t>
  </si>
  <si>
    <t>INITIAL SECTORAL GROSS FIXED CAPITAL FORMATION SHARE</t>
  </si>
  <si>
    <t>Greenhouse gas emission intensity of different sectors.</t>
  </si>
  <si>
    <t>Intensity of emissions from land use change (from forest to each type of productive land use).</t>
  </si>
  <si>
    <t>Intensity of emissions from the combustion of fossil fuels.</t>
  </si>
  <si>
    <t>Conversion of monetary units to physical units in the extraction of used material.</t>
  </si>
  <si>
    <t>Conversion of monetary units to physical units in the extraction of unused material.</t>
  </si>
  <si>
    <t>Conversion factor</t>
  </si>
  <si>
    <t>Conversion of monetary units to physical units in industrial roundwood production.</t>
  </si>
  <si>
    <t>Intensity of water consumption by sector.</t>
  </si>
  <si>
    <t>Intensity of water withdrawal by sector.</t>
  </si>
  <si>
    <t>Water intensity of household consumption.</t>
  </si>
  <si>
    <t>energy land</t>
  </si>
  <si>
    <t>food land capitalism</t>
  </si>
  <si>
    <t>food land subsistence</t>
  </si>
  <si>
    <t>forest land</t>
  </si>
  <si>
    <t>primary forest</t>
  </si>
  <si>
    <t>secondary forest</t>
  </si>
  <si>
    <t>Intensity of nitrogen and phosphorus pollution from agriculture.</t>
  </si>
  <si>
    <t>Intensity of air pollution by sector.</t>
  </si>
  <si>
    <t>Weights of different land types to calculate the planetary boundary for biosphere integrity.</t>
  </si>
  <si>
    <t>Correction factor.</t>
  </si>
  <si>
    <t>Threshold values for the different planetary boundaries.</t>
  </si>
  <si>
    <t>Parameters of the carbon cycle view.</t>
  </si>
  <si>
    <t>Parameters of the other GHG cycle view.</t>
  </si>
  <si>
    <t>HFC parameters. Used in the other GHG cycle view.</t>
  </si>
  <si>
    <t>Parameters of the radiative forcing view.</t>
  </si>
  <si>
    <t>Parameters of the total GHG emissions view.</t>
  </si>
  <si>
    <t>Parameters of the temperature change view.</t>
  </si>
  <si>
    <t>Parameters of the  PH Ocean view.</t>
  </si>
  <si>
    <t>Parameters of the sea level rise view.</t>
  </si>
  <si>
    <t>Other constants used in the climate module.</t>
  </si>
  <si>
    <t>ECONOMY</t>
  </si>
  <si>
    <t>LABOUR</t>
  </si>
  <si>
    <t>ENERGY</t>
  </si>
  <si>
    <t>LAND</t>
  </si>
  <si>
    <t>STRESSORS</t>
  </si>
  <si>
    <t>CLIMATE</t>
  </si>
  <si>
    <t>UNIT CONVERSION</t>
  </si>
  <si>
    <t>INITIAL CAPITAL INTENSITY</t>
  </si>
  <si>
    <t>Capital intensity at the start of the simulation.</t>
  </si>
  <si>
    <t>INVESTMENT SPEED PARAMETER</t>
  </si>
  <si>
    <t>INITIAL CAPITAL STOCK</t>
  </si>
  <si>
    <t>Capital stock at the start of the simulation.</t>
  </si>
  <si>
    <t>Capital stock</t>
  </si>
  <si>
    <t>Parameter to regulate investment speed.</t>
  </si>
  <si>
    <t>Capital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</si>
</sst>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#,##0.000"/>
    <numFmt numFmtId="166" formatCode="0.00000000"/>
    <numFmt numFmtId="167" formatCode="0.000000"/>
    <numFmt numFmtId="168" formatCode="0.0000000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42021"/>
      <name val="FrutigerLTPro-Condensed"/>
    </font>
    <font>
      <b/>
      <vertAlign val="superscript"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0" borderId="0" xfId="0" applyFont="1"/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1" fillId="2" borderId="36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6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3" borderId="51" xfId="0" applyFill="1" applyBorder="1" applyAlignment="1">
      <alignment vertical="center" wrapText="1"/>
    </xf>
    <xf numFmtId="1" fontId="0" fillId="3" borderId="51" xfId="0" applyNumberFormat="1" applyFill="1" applyBorder="1" applyAlignment="1">
      <alignment vertical="center" wrapText="1"/>
    </xf>
    <xf numFmtId="0" fontId="0" fillId="3" borderId="52" xfId="0" applyFill="1" applyBorder="1" applyAlignment="1">
      <alignment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/>
    </xf>
    <xf numFmtId="0" fontId="0" fillId="3" borderId="43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167" fontId="1" fillId="0" borderId="0" xfId="0" applyNumberFormat="1" applyFont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4" fontId="0" fillId="0" borderId="0" xfId="1" applyNumberFormat="1" applyFont="1" applyFill="1" applyBorder="1" applyAlignment="1">
      <alignment horizontal="center"/>
    </xf>
    <xf numFmtId="0" fontId="0" fillId="3" borderId="41" xfId="0" applyFill="1" applyBorder="1" applyAlignment="1">
      <alignment horizontal="left" vertical="center" wrapText="1"/>
    </xf>
    <xf numFmtId="0" fontId="0" fillId="3" borderId="24" xfId="0" applyFill="1" applyBorder="1" applyAlignment="1">
      <alignment vertical="center" wrapText="1"/>
    </xf>
    <xf numFmtId="0" fontId="0" fillId="3" borderId="25" xfId="0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0" fontId="1" fillId="2" borderId="39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2" fillId="3" borderId="53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left" vertical="center" wrapText="1"/>
    </xf>
    <xf numFmtId="0" fontId="1" fillId="2" borderId="30" xfId="0" applyFont="1" applyFill="1" applyBorder="1"/>
    <xf numFmtId="0" fontId="1" fillId="2" borderId="29" xfId="0" applyFont="1" applyFill="1" applyBorder="1"/>
    <xf numFmtId="0" fontId="1" fillId="2" borderId="31" xfId="0" applyFont="1" applyFill="1" applyBorder="1"/>
    <xf numFmtId="0" fontId="0" fillId="3" borderId="57" xfId="0" applyFill="1" applyBorder="1" applyAlignment="1">
      <alignment vertical="center" wrapText="1"/>
    </xf>
    <xf numFmtId="168" fontId="0" fillId="3" borderId="41" xfId="0" applyNumberFormat="1" applyFill="1" applyBorder="1" applyAlignment="1">
      <alignment vertical="center" wrapText="1"/>
    </xf>
    <xf numFmtId="0" fontId="7" fillId="0" borderId="0" xfId="0" applyFont="1"/>
    <xf numFmtId="0" fontId="2" fillId="3" borderId="41" xfId="0" applyFont="1" applyFill="1" applyBorder="1" applyAlignment="1">
      <alignment horizontal="left" vertical="center" wrapText="1"/>
    </xf>
    <xf numFmtId="0" fontId="8" fillId="0" borderId="0" xfId="0" applyFont="1"/>
    <xf numFmtId="0" fontId="0" fillId="3" borderId="5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55" xfId="0" applyFill="1" applyBorder="1" applyAlignment="1">
      <alignment horizontal="left" vertical="center" wrapText="1"/>
    </xf>
    <xf numFmtId="0" fontId="0" fillId="3" borderId="56" xfId="0" applyFill="1" applyBorder="1" applyAlignment="1">
      <alignment horizontal="left" vertical="center" wrapText="1"/>
    </xf>
    <xf numFmtId="0" fontId="0" fillId="3" borderId="46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0" fontId="2" fillId="3" borderId="2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44" xfId="0" applyFont="1" applyFill="1" applyBorder="1" applyAlignment="1">
      <alignment horizontal="left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0" fillId="3" borderId="22" xfId="0" applyFill="1" applyBorder="1" applyAlignment="1">
      <alignment horizontal="left" wrapText="1"/>
    </xf>
    <xf numFmtId="0" fontId="2" fillId="3" borderId="36" xfId="0" applyFont="1" applyFill="1" applyBorder="1" applyAlignment="1">
      <alignment horizontal="left" vertical="center" wrapText="1"/>
    </xf>
    <xf numFmtId="0" fontId="2" fillId="3" borderId="58" xfId="0" applyFont="1" applyFill="1" applyBorder="1" applyAlignment="1">
      <alignment horizontal="left" vertical="center" wrapText="1"/>
    </xf>
    <xf numFmtId="0" fontId="2" fillId="3" borderId="35" xfId="0" applyFont="1" applyFill="1" applyBorder="1" applyAlignment="1">
      <alignment horizontal="left" vertical="center" wrapText="1"/>
    </xf>
  </cellXfs>
  <cellStyles count="2">
    <cellStyle name="Millares 2" xfId="1" xr:uid="{FDC6FA2A-9396-4DD8-B5C6-CC0D05D7F4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RDRED/scenario_parameters/scenario_parameters.xlsx" TargetMode="External"/><Relationship Id="rId1" Type="http://schemas.openxmlformats.org/officeDocument/2006/relationships/externalLinkPath" Target="/Users/LuisLlases/Desktop/MORDRED/scenario_parameters/scenario_paramet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ALLADOLID\Habil\1_SCENARIO_MODELING\250306_MORDRED\model_parameters\model_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pulation"/>
      <sheetName val="Economy"/>
      <sheetName val="Labour"/>
      <sheetName val="Energy"/>
      <sheetName val="Land"/>
      <sheetName val="Stressors"/>
      <sheetName val="Climate"/>
      <sheetName val="Switches"/>
      <sheetName val="Amatrix_base"/>
    </sheetNames>
    <sheetDataSet>
      <sheetData sheetId="0">
        <row r="3">
          <cell r="E3">
            <v>6.8587105624142656E-4</v>
          </cell>
        </row>
        <row r="4">
          <cell r="E4">
            <v>5.4999999999999982</v>
          </cell>
        </row>
        <row r="5">
          <cell r="E5">
            <v>6.8587105624142632E-3</v>
          </cell>
        </row>
      </sheetData>
      <sheetData sheetId="1" refreshError="1"/>
      <sheetData sheetId="2">
        <row r="9">
          <cell r="E9">
            <v>2080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13">
          <cell r="C13">
            <v>1</v>
          </cell>
        </row>
        <row r="14">
          <cell r="C14">
            <v>1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ulation"/>
      <sheetName val="Economy"/>
      <sheetName val="Labour"/>
      <sheetName val="Energy"/>
      <sheetName val="Land"/>
      <sheetName val="Stressors"/>
      <sheetName val="Units"/>
      <sheetName val="Tabelle1"/>
    </sheetNames>
    <sheetDataSet>
      <sheetData sheetId="0"/>
      <sheetData sheetId="1"/>
      <sheetData sheetId="2"/>
      <sheetData sheetId="3"/>
      <sheetData sheetId="4"/>
      <sheetData sheetId="5">
        <row r="108">
          <cell r="E108">
            <v>1.046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zoomScaleNormal="100" workbookViewId="0"/>
  </sheetViews>
  <sheetFormatPr baseColWidth="10" defaultColWidth="8.88671875" defaultRowHeight="14.4"/>
  <cols>
    <col min="1" max="1" width="29" customWidth="1"/>
    <col min="2" max="2" width="30.109375" customWidth="1"/>
    <col min="3" max="3" width="13.77734375" customWidth="1"/>
    <col min="4" max="4" width="21.21875" customWidth="1"/>
    <col min="5" max="5" width="23.44140625" customWidth="1"/>
    <col min="6" max="9" width="21.21875" customWidth="1"/>
    <col min="10" max="23" width="15.33203125" customWidth="1"/>
    <col min="24" max="24" width="11" bestFit="1" customWidth="1"/>
  </cols>
  <sheetData>
    <row r="1" spans="1:23" ht="25.8">
      <c r="A1" s="114" t="s">
        <v>470</v>
      </c>
    </row>
    <row r="3" spans="1:23" ht="15" thickBot="1">
      <c r="A3" s="19" t="s">
        <v>55</v>
      </c>
    </row>
    <row r="4" spans="1:23" ht="15" thickBot="1">
      <c r="B4" s="23" t="s">
        <v>0</v>
      </c>
      <c r="C4" s="24" t="s">
        <v>1</v>
      </c>
      <c r="D4" s="23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2" t="s">
        <v>7</v>
      </c>
      <c r="J4" s="22" t="s">
        <v>8</v>
      </c>
      <c r="K4" s="22" t="s">
        <v>9</v>
      </c>
      <c r="L4" s="22" t="s">
        <v>10</v>
      </c>
      <c r="M4" s="22" t="s">
        <v>11</v>
      </c>
      <c r="N4" s="22" t="s">
        <v>12</v>
      </c>
      <c r="O4" s="22" t="s">
        <v>13</v>
      </c>
      <c r="P4" s="22" t="s">
        <v>14</v>
      </c>
      <c r="Q4" s="22" t="s">
        <v>15</v>
      </c>
      <c r="R4" s="22" t="s">
        <v>16</v>
      </c>
      <c r="S4" s="22" t="s">
        <v>17</v>
      </c>
      <c r="T4" s="22" t="s">
        <v>18</v>
      </c>
      <c r="U4" s="22" t="s">
        <v>19</v>
      </c>
      <c r="V4" s="22" t="s">
        <v>20</v>
      </c>
      <c r="W4" s="24" t="s">
        <v>21</v>
      </c>
    </row>
    <row r="5" spans="1:23" ht="14.4" customHeight="1">
      <c r="A5" s="6" t="s">
        <v>62</v>
      </c>
      <c r="B5" s="118" t="s">
        <v>201</v>
      </c>
      <c r="C5" s="121" t="s">
        <v>22</v>
      </c>
      <c r="D5" s="4">
        <v>65391212</v>
      </c>
      <c r="E5" s="5">
        <v>67874162</v>
      </c>
      <c r="F5" s="5">
        <v>69245584</v>
      </c>
      <c r="G5" s="5">
        <v>68320615</v>
      </c>
      <c r="H5" s="5">
        <v>73410670</v>
      </c>
      <c r="I5" s="5">
        <v>81253485</v>
      </c>
      <c r="J5" s="5">
        <v>84507129</v>
      </c>
      <c r="K5" s="5">
        <v>85282198</v>
      </c>
      <c r="L5" s="5">
        <v>84735463</v>
      </c>
      <c r="M5" s="5">
        <v>85667375</v>
      </c>
      <c r="N5" s="5">
        <v>84389340</v>
      </c>
      <c r="O5" s="5">
        <v>82540512</v>
      </c>
      <c r="P5" s="5">
        <v>75958439</v>
      </c>
      <c r="Q5" s="5">
        <v>67118231</v>
      </c>
      <c r="R5" s="5">
        <v>58205699</v>
      </c>
      <c r="S5" s="5">
        <v>42344781</v>
      </c>
      <c r="T5" s="5">
        <v>31435714</v>
      </c>
      <c r="U5" s="5">
        <v>19501500</v>
      </c>
      <c r="V5" s="5">
        <v>9195586</v>
      </c>
      <c r="W5" s="10">
        <v>2879337</v>
      </c>
    </row>
    <row r="6" spans="1:23">
      <c r="A6" s="7" t="s">
        <v>64</v>
      </c>
      <c r="B6" s="119"/>
      <c r="C6" s="122"/>
      <c r="D6" s="11">
        <v>202485177</v>
      </c>
      <c r="E6" s="9">
        <v>206282703</v>
      </c>
      <c r="F6" s="9">
        <v>198965647</v>
      </c>
      <c r="G6" s="9">
        <v>195472426</v>
      </c>
      <c r="H6" s="9">
        <v>199972576</v>
      </c>
      <c r="I6" s="9">
        <v>212735437</v>
      </c>
      <c r="J6" s="9">
        <v>245695894</v>
      </c>
      <c r="K6" s="9">
        <v>213563671</v>
      </c>
      <c r="L6" s="9">
        <v>198992700</v>
      </c>
      <c r="M6" s="9">
        <v>213055668</v>
      </c>
      <c r="N6" s="9">
        <v>206965272</v>
      </c>
      <c r="O6" s="9">
        <v>174530277</v>
      </c>
      <c r="P6" s="9">
        <v>140907763</v>
      </c>
      <c r="Q6" s="9">
        <v>123527383</v>
      </c>
      <c r="R6" s="9">
        <v>78486887.999999985</v>
      </c>
      <c r="S6" s="9">
        <v>48607680</v>
      </c>
      <c r="T6" s="9">
        <v>31772471</v>
      </c>
      <c r="U6" s="9">
        <v>14859214</v>
      </c>
      <c r="V6" s="9">
        <v>5141502</v>
      </c>
      <c r="W6" s="12">
        <v>1233737</v>
      </c>
    </row>
    <row r="7" spans="1:23" ht="15" thickBot="1">
      <c r="A7" s="8" t="s">
        <v>63</v>
      </c>
      <c r="B7" s="120"/>
      <c r="C7" s="123"/>
      <c r="D7" s="13">
        <v>409994298</v>
      </c>
      <c r="E7" s="14">
        <v>390209850</v>
      </c>
      <c r="F7" s="14">
        <v>372978176</v>
      </c>
      <c r="G7" s="14">
        <v>348324472</v>
      </c>
      <c r="H7" s="14">
        <v>323926150</v>
      </c>
      <c r="I7" s="14">
        <v>300627120</v>
      </c>
      <c r="J7" s="14">
        <v>275255632</v>
      </c>
      <c r="K7" s="14">
        <v>245899765</v>
      </c>
      <c r="L7" s="14">
        <v>209987877</v>
      </c>
      <c r="M7" s="14">
        <v>180564017</v>
      </c>
      <c r="N7" s="14">
        <v>154334050</v>
      </c>
      <c r="O7" s="14">
        <v>130700161</v>
      </c>
      <c r="P7" s="14">
        <v>105209145</v>
      </c>
      <c r="Q7" s="14">
        <v>78946026</v>
      </c>
      <c r="R7" s="14">
        <v>51944626</v>
      </c>
      <c r="S7" s="14">
        <v>32802334.000000004</v>
      </c>
      <c r="T7" s="14">
        <v>18704710</v>
      </c>
      <c r="U7" s="14">
        <v>7815562</v>
      </c>
      <c r="V7" s="14">
        <v>2338165</v>
      </c>
      <c r="W7" s="15">
        <v>592150</v>
      </c>
    </row>
    <row r="9" spans="1:23" ht="15" thickBot="1">
      <c r="A9" s="19" t="s">
        <v>161</v>
      </c>
    </row>
    <row r="10" spans="1:23" ht="15" thickBot="1">
      <c r="B10" s="1" t="s">
        <v>0</v>
      </c>
      <c r="C10" s="3" t="s">
        <v>1</v>
      </c>
      <c r="D10" s="1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  <c r="P10" s="2" t="s">
        <v>14</v>
      </c>
      <c r="Q10" s="2" t="s">
        <v>15</v>
      </c>
      <c r="R10" s="2" t="s">
        <v>16</v>
      </c>
      <c r="S10" s="2" t="s">
        <v>17</v>
      </c>
      <c r="T10" s="2" t="s">
        <v>18</v>
      </c>
      <c r="U10" s="2" t="s">
        <v>19</v>
      </c>
      <c r="V10" s="2" t="s">
        <v>20</v>
      </c>
      <c r="W10" s="3" t="s">
        <v>21</v>
      </c>
    </row>
    <row r="11" spans="1:23">
      <c r="A11" s="6" t="s">
        <v>62</v>
      </c>
      <c r="B11" s="118" t="s">
        <v>202</v>
      </c>
      <c r="C11" s="121" t="s">
        <v>22</v>
      </c>
      <c r="D11" s="4">
        <v>65391212</v>
      </c>
      <c r="E11" s="5">
        <v>67874162</v>
      </c>
      <c r="F11" s="5">
        <v>69245584</v>
      </c>
      <c r="G11" s="5">
        <v>68320615</v>
      </c>
      <c r="H11" s="5">
        <v>73410670</v>
      </c>
      <c r="I11" s="5">
        <v>81253485</v>
      </c>
      <c r="J11" s="5">
        <v>84507129</v>
      </c>
      <c r="K11" s="5">
        <v>85282198</v>
      </c>
      <c r="L11" s="5">
        <v>84735463</v>
      </c>
      <c r="M11" s="5">
        <v>85667375</v>
      </c>
      <c r="N11" s="5">
        <v>84389340</v>
      </c>
      <c r="O11" s="5">
        <v>82540512</v>
      </c>
      <c r="P11" s="5">
        <v>75958439</v>
      </c>
      <c r="Q11" s="5">
        <v>67118231</v>
      </c>
      <c r="R11" s="5">
        <v>58205699</v>
      </c>
      <c r="S11" s="5">
        <v>42344781</v>
      </c>
      <c r="T11" s="5">
        <v>31435714</v>
      </c>
      <c r="U11" s="5">
        <v>19501500</v>
      </c>
      <c r="V11" s="5">
        <v>9195586</v>
      </c>
      <c r="W11" s="10">
        <v>2879337</v>
      </c>
    </row>
    <row r="12" spans="1:23">
      <c r="A12" s="7" t="s">
        <v>64</v>
      </c>
      <c r="B12" s="119"/>
      <c r="C12" s="122"/>
      <c r="D12" s="11">
        <v>194144599.58288831</v>
      </c>
      <c r="E12" s="9">
        <v>197785701.49266222</v>
      </c>
      <c r="F12" s="9">
        <v>190770042.72547466</v>
      </c>
      <c r="G12" s="9">
        <v>187420711.17267892</v>
      </c>
      <c r="H12" s="9">
        <v>191735495.26086396</v>
      </c>
      <c r="I12" s="9">
        <v>203972640.59213462</v>
      </c>
      <c r="J12" s="9">
        <v>235575421.70007718</v>
      </c>
      <c r="K12" s="9">
        <v>204766758.76252759</v>
      </c>
      <c r="L12" s="9">
        <v>190795981.38395</v>
      </c>
      <c r="M12" s="9">
        <v>204279680.94042158</v>
      </c>
      <c r="N12" s="9">
        <v>198440154.75761744</v>
      </c>
      <c r="O12" s="9">
        <v>167341191.31720731</v>
      </c>
      <c r="P12" s="9">
        <v>135103624.03345469</v>
      </c>
      <c r="Q12" s="9">
        <v>118439160.16655917</v>
      </c>
      <c r="R12" s="9">
        <v>75253930.52977404</v>
      </c>
      <c r="S12" s="9">
        <v>46605478.534624629</v>
      </c>
      <c r="T12" s="9">
        <v>30463729.500821341</v>
      </c>
      <c r="U12" s="9">
        <v>14247147.346229933</v>
      </c>
      <c r="V12" s="9">
        <v>4929718.1247228757</v>
      </c>
      <c r="W12" s="12">
        <v>1182918.0753097492</v>
      </c>
    </row>
    <row r="13" spans="1:23" ht="15" thickBot="1">
      <c r="A13" s="8" t="s">
        <v>63</v>
      </c>
      <c r="B13" s="120"/>
      <c r="C13" s="123"/>
      <c r="D13" s="13">
        <v>333426237.23093212</v>
      </c>
      <c r="E13" s="14">
        <v>317336613.3397944</v>
      </c>
      <c r="F13" s="14">
        <v>303323022.78246886</v>
      </c>
      <c r="G13" s="14">
        <v>283273495.75581455</v>
      </c>
      <c r="H13" s="14">
        <v>263431657.1280767</v>
      </c>
      <c r="I13" s="14">
        <v>244483813.36067238</v>
      </c>
      <c r="J13" s="14">
        <v>223850551.34201437</v>
      </c>
      <c r="K13" s="14">
        <v>199977008.89957368</v>
      </c>
      <c r="L13" s="14">
        <v>170771808.37334913</v>
      </c>
      <c r="M13" s="14">
        <v>146842970.89324901</v>
      </c>
      <c r="N13" s="14">
        <v>125511554.23168966</v>
      </c>
      <c r="O13" s="14">
        <v>106291387.71024327</v>
      </c>
      <c r="P13" s="14">
        <v>85560920.01951094</v>
      </c>
      <c r="Q13" s="14">
        <v>64202542.625398502</v>
      </c>
      <c r="R13" s="14">
        <v>42243761.135302529</v>
      </c>
      <c r="S13" s="14">
        <v>26676368.065031651</v>
      </c>
      <c r="T13" s="14">
        <v>15211531.243773025</v>
      </c>
      <c r="U13" s="14">
        <v>6355974.8079839349</v>
      </c>
      <c r="V13" s="14">
        <v>1901503.4154817986</v>
      </c>
      <c r="W13" s="15">
        <v>481563.63963943825</v>
      </c>
    </row>
    <row r="15" spans="1:23" ht="15" thickBot="1">
      <c r="A15" s="19" t="s">
        <v>162</v>
      </c>
    </row>
    <row r="16" spans="1:23" ht="15" thickBot="1">
      <c r="B16" s="1" t="s">
        <v>0</v>
      </c>
      <c r="C16" s="3" t="s">
        <v>1</v>
      </c>
      <c r="D16" s="1" t="s">
        <v>2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  <c r="N16" s="2" t="s">
        <v>12</v>
      </c>
      <c r="O16" s="2" t="s">
        <v>13</v>
      </c>
      <c r="P16" s="2" t="s">
        <v>14</v>
      </c>
      <c r="Q16" s="2" t="s">
        <v>15</v>
      </c>
      <c r="R16" s="2" t="s">
        <v>16</v>
      </c>
      <c r="S16" s="2" t="s">
        <v>17</v>
      </c>
      <c r="T16" s="2" t="s">
        <v>18</v>
      </c>
      <c r="U16" s="2" t="s">
        <v>19</v>
      </c>
      <c r="V16" s="2" t="s">
        <v>20</v>
      </c>
      <c r="W16" s="3" t="s">
        <v>21</v>
      </c>
    </row>
    <row r="17" spans="1:23">
      <c r="A17" s="6" t="s">
        <v>62</v>
      </c>
      <c r="B17" s="118" t="s">
        <v>203</v>
      </c>
      <c r="C17" s="121" t="s">
        <v>22</v>
      </c>
      <c r="D17" s="4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10">
        <v>0</v>
      </c>
    </row>
    <row r="18" spans="1:23">
      <c r="A18" s="7" t="s">
        <v>64</v>
      </c>
      <c r="B18" s="119"/>
      <c r="C18" s="122"/>
      <c r="D18" s="11">
        <v>8340577.417111706</v>
      </c>
      <c r="E18" s="9">
        <v>8497001.5073377993</v>
      </c>
      <c r="F18" s="9">
        <v>8195604.274525336</v>
      </c>
      <c r="G18" s="9">
        <v>8051714.8273211084</v>
      </c>
      <c r="H18" s="9">
        <v>8237080.7391360523</v>
      </c>
      <c r="I18" s="9">
        <v>8762796.4078654014</v>
      </c>
      <c r="J18" s="9">
        <v>10120472.299922831</v>
      </c>
      <c r="K18" s="9">
        <v>8796912.2374724466</v>
      </c>
      <c r="L18" s="9">
        <v>8196718.6160500264</v>
      </c>
      <c r="M18" s="9">
        <v>8775987.0595784355</v>
      </c>
      <c r="N18" s="9">
        <v>8525117.2423825469</v>
      </c>
      <c r="O18" s="9">
        <v>7189085.682792725</v>
      </c>
      <c r="P18" s="9">
        <v>5804138.9665453313</v>
      </c>
      <c r="Q18" s="9">
        <v>5088222.8334408328</v>
      </c>
      <c r="R18" s="9">
        <v>3232957.4702259596</v>
      </c>
      <c r="S18" s="9">
        <v>2002201.4653753759</v>
      </c>
      <c r="T18" s="9">
        <v>1308741.4991786613</v>
      </c>
      <c r="U18" s="9">
        <v>612066.65377006878</v>
      </c>
      <c r="V18" s="9">
        <v>211783.87527712548</v>
      </c>
      <c r="W18" s="12">
        <v>50818.924690251006</v>
      </c>
    </row>
    <row r="19" spans="1:23" ht="15" thickBot="1">
      <c r="A19" s="8" t="s">
        <v>63</v>
      </c>
      <c r="B19" s="120"/>
      <c r="C19" s="123"/>
      <c r="D19" s="13">
        <v>76568060.769067898</v>
      </c>
      <c r="E19" s="14">
        <v>72873236.660205618</v>
      </c>
      <c r="F19" s="14">
        <v>69655153.217531085</v>
      </c>
      <c r="G19" s="14">
        <v>65050976.244185455</v>
      </c>
      <c r="H19" s="14">
        <v>60494492.87192332</v>
      </c>
      <c r="I19" s="14">
        <v>56143306.639327623</v>
      </c>
      <c r="J19" s="14">
        <v>51405080.657985613</v>
      </c>
      <c r="K19" s="14">
        <v>45922756.100426346</v>
      </c>
      <c r="L19" s="14">
        <v>39216068.626650892</v>
      </c>
      <c r="M19" s="14">
        <v>33721046.106750995</v>
      </c>
      <c r="N19" s="14">
        <v>28822495.768310327</v>
      </c>
      <c r="O19" s="14">
        <v>24408773.289756723</v>
      </c>
      <c r="P19" s="14">
        <v>19648224.98048906</v>
      </c>
      <c r="Q19" s="14">
        <v>14743483.374601502</v>
      </c>
      <c r="R19" s="14">
        <v>9700864.8646974713</v>
      </c>
      <c r="S19" s="14">
        <v>6125965.9349683495</v>
      </c>
      <c r="T19" s="14">
        <v>3493178.7562269755</v>
      </c>
      <c r="U19" s="14">
        <v>1459587.1920160651</v>
      </c>
      <c r="V19" s="14">
        <v>436661.58451820136</v>
      </c>
      <c r="W19" s="15">
        <v>110586.36036056178</v>
      </c>
    </row>
    <row r="21" spans="1:23" ht="15" thickBot="1">
      <c r="A21" s="19" t="s">
        <v>214</v>
      </c>
    </row>
    <row r="22" spans="1:23" ht="15" thickBot="1">
      <c r="B22" s="1" t="s">
        <v>0</v>
      </c>
      <c r="C22" s="3" t="s">
        <v>1</v>
      </c>
      <c r="D22" s="1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11</v>
      </c>
      <c r="N22" s="2" t="s">
        <v>12</v>
      </c>
      <c r="O22" s="2" t="s">
        <v>13</v>
      </c>
      <c r="P22" s="2" t="s">
        <v>14</v>
      </c>
      <c r="Q22" s="2" t="s">
        <v>15</v>
      </c>
      <c r="R22" s="2" t="s">
        <v>16</v>
      </c>
      <c r="S22" s="2" t="s">
        <v>17</v>
      </c>
      <c r="T22" s="2" t="s">
        <v>18</v>
      </c>
      <c r="U22" s="2" t="s">
        <v>19</v>
      </c>
      <c r="V22" s="2" t="s">
        <v>20</v>
      </c>
      <c r="W22" s="3" t="s">
        <v>21</v>
      </c>
    </row>
    <row r="23" spans="1:23" ht="29.4" customHeight="1" thickBot="1">
      <c r="A23" s="76" t="s">
        <v>215</v>
      </c>
      <c r="B23" s="33" t="s">
        <v>409</v>
      </c>
      <c r="C23" s="34" t="s">
        <v>216</v>
      </c>
      <c r="D23" s="35">
        <v>2</v>
      </c>
      <c r="E23" s="36">
        <f>D23+5</f>
        <v>7</v>
      </c>
      <c r="F23" s="36">
        <f>E23+5</f>
        <v>12</v>
      </c>
      <c r="G23" s="36">
        <f t="shared" ref="G23:W23" si="0">F23+5</f>
        <v>17</v>
      </c>
      <c r="H23" s="36">
        <f t="shared" si="0"/>
        <v>22</v>
      </c>
      <c r="I23" s="36">
        <f t="shared" si="0"/>
        <v>27</v>
      </c>
      <c r="J23" s="36">
        <f t="shared" si="0"/>
        <v>32</v>
      </c>
      <c r="K23" s="36">
        <f t="shared" si="0"/>
        <v>37</v>
      </c>
      <c r="L23" s="36">
        <f t="shared" si="0"/>
        <v>42</v>
      </c>
      <c r="M23" s="36">
        <f t="shared" si="0"/>
        <v>47</v>
      </c>
      <c r="N23" s="36">
        <f t="shared" si="0"/>
        <v>52</v>
      </c>
      <c r="O23" s="36">
        <f t="shared" si="0"/>
        <v>57</v>
      </c>
      <c r="P23" s="36">
        <f t="shared" si="0"/>
        <v>62</v>
      </c>
      <c r="Q23" s="36">
        <f t="shared" si="0"/>
        <v>67</v>
      </c>
      <c r="R23" s="36">
        <f t="shared" si="0"/>
        <v>72</v>
      </c>
      <c r="S23" s="36">
        <f t="shared" si="0"/>
        <v>77</v>
      </c>
      <c r="T23" s="36">
        <f t="shared" si="0"/>
        <v>82</v>
      </c>
      <c r="U23" s="36">
        <f t="shared" si="0"/>
        <v>87</v>
      </c>
      <c r="V23" s="36">
        <f t="shared" si="0"/>
        <v>92</v>
      </c>
      <c r="W23" s="37">
        <f t="shared" si="0"/>
        <v>97</v>
      </c>
    </row>
    <row r="25" spans="1:23" ht="15" thickBot="1">
      <c r="A25" s="19" t="s">
        <v>207</v>
      </c>
    </row>
    <row r="26" spans="1:23" ht="15" thickBot="1">
      <c r="B26" s="1" t="s">
        <v>0</v>
      </c>
      <c r="C26" s="3" t="s">
        <v>1</v>
      </c>
      <c r="D26" s="1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28</v>
      </c>
      <c r="J26" s="2" t="s">
        <v>29</v>
      </c>
      <c r="K26" s="2" t="s">
        <v>30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2" t="s">
        <v>40</v>
      </c>
      <c r="V26" s="2" t="s">
        <v>41</v>
      </c>
      <c r="W26" s="3" t="s">
        <v>54</v>
      </c>
    </row>
    <row r="27" spans="1:23" ht="14.4" customHeight="1">
      <c r="A27" s="29" t="s">
        <v>42</v>
      </c>
      <c r="B27" s="124" t="s">
        <v>204</v>
      </c>
      <c r="C27" s="127" t="s">
        <v>137</v>
      </c>
      <c r="D27" s="4">
        <v>6.3514599784460597E-3</v>
      </c>
      <c r="E27" s="5">
        <v>7.9845908785288302E-4</v>
      </c>
      <c r="F27" s="5">
        <v>6.6855214598022096E-4</v>
      </c>
      <c r="G27" s="5">
        <v>1.7642940679976099E-3</v>
      </c>
      <c r="H27" s="5">
        <v>2.5125569354751002E-3</v>
      </c>
      <c r="I27" s="5">
        <v>2.5787419175338599E-3</v>
      </c>
      <c r="J27" s="5">
        <v>2.9771461382389099E-3</v>
      </c>
      <c r="K27" s="5">
        <v>3.9353106539009204E-3</v>
      </c>
      <c r="L27" s="5">
        <v>6.0021335171807503E-3</v>
      </c>
      <c r="M27" s="5">
        <v>9.7280770346565206E-3</v>
      </c>
      <c r="N27" s="5">
        <v>1.5831788462007401E-2</v>
      </c>
      <c r="O27" s="5">
        <v>2.5065722012039202E-2</v>
      </c>
      <c r="P27" s="5">
        <v>4.0266892369726803E-2</v>
      </c>
      <c r="Q27" s="5">
        <v>6.4790836890912695E-2</v>
      </c>
      <c r="R27" s="5">
        <v>0.105963071091317</v>
      </c>
      <c r="S27" s="5">
        <v>0.180585947426192</v>
      </c>
      <c r="T27" s="5">
        <v>0.32247341691653197</v>
      </c>
      <c r="U27" s="5">
        <v>0.574518286751876</v>
      </c>
      <c r="V27" s="5">
        <v>0.98879826330115494</v>
      </c>
      <c r="W27" s="10">
        <v>0.98879826330115494</v>
      </c>
    </row>
    <row r="28" spans="1:23">
      <c r="A28" s="31" t="s">
        <v>43</v>
      </c>
      <c r="B28" s="125"/>
      <c r="C28" s="128"/>
      <c r="D28" s="11">
        <v>0.11991922080235</v>
      </c>
      <c r="E28" s="9">
        <v>1.5842338786943098E-2</v>
      </c>
      <c r="F28" s="9">
        <v>7.6186416515798099E-3</v>
      </c>
      <c r="G28" s="9">
        <v>1.04660411081861E-2</v>
      </c>
      <c r="H28" s="9">
        <v>1.37463521242572E-2</v>
      </c>
      <c r="I28" s="9">
        <v>1.6257534071909299E-2</v>
      </c>
      <c r="J28" s="9">
        <v>1.97290523022088E-2</v>
      </c>
      <c r="K28" s="9">
        <v>2.5279746352982999E-2</v>
      </c>
      <c r="L28" s="9">
        <v>3.1944861986196303E-2</v>
      </c>
      <c r="M28" s="9">
        <v>4.2144550518166797E-2</v>
      </c>
      <c r="N28" s="9">
        <v>5.8589615447566697E-2</v>
      </c>
      <c r="O28" s="9">
        <v>8.2122855465154201E-2</v>
      </c>
      <c r="P28" s="9">
        <v>0.12376889754716799</v>
      </c>
      <c r="Q28" s="9">
        <v>0.18947358623242</v>
      </c>
      <c r="R28" s="9">
        <v>0.30169597625658401</v>
      </c>
      <c r="S28" s="9">
        <v>0.46810486871753798</v>
      </c>
      <c r="T28" s="9">
        <v>0.72693395465321697</v>
      </c>
      <c r="U28" s="9">
        <v>1.1010097917472601</v>
      </c>
      <c r="V28" s="9">
        <v>1.5675986026715401</v>
      </c>
      <c r="W28" s="12">
        <v>1.5675986026715401</v>
      </c>
    </row>
    <row r="29" spans="1:23">
      <c r="A29" s="31" t="s">
        <v>44</v>
      </c>
      <c r="B29" s="125"/>
      <c r="C29" s="128"/>
      <c r="D29" s="11">
        <v>-7.3040130615246497</v>
      </c>
      <c r="E29" s="9">
        <v>-7.1473532211606896</v>
      </c>
      <c r="F29" s="9">
        <v>-7.7175207831165604</v>
      </c>
      <c r="G29" s="9">
        <v>-7.9332857365814</v>
      </c>
      <c r="H29" s="9">
        <v>-8.1724638019239606</v>
      </c>
      <c r="I29" s="9">
        <v>-8.3712036222800208</v>
      </c>
      <c r="J29" s="9">
        <v>-8.5124354278060004</v>
      </c>
      <c r="K29" s="9">
        <v>-8.6185565254682999</v>
      </c>
      <c r="L29" s="9">
        <v>-8.7299908530974406</v>
      </c>
      <c r="M29" s="9">
        <v>-8.8327534197578803</v>
      </c>
      <c r="N29" s="9">
        <v>-8.8743266593519792</v>
      </c>
      <c r="O29" s="9">
        <v>-8.8752010406722999</v>
      </c>
      <c r="P29" s="9">
        <v>-8.7795108853426296</v>
      </c>
      <c r="Q29" s="9">
        <v>-8.6505130321910002</v>
      </c>
      <c r="R29" s="9">
        <v>-8.5669916964274098</v>
      </c>
      <c r="S29" s="9">
        <v>-8.5781322457144196</v>
      </c>
      <c r="T29" s="9">
        <v>-8.60008183607634</v>
      </c>
      <c r="U29" s="9">
        <v>-8.6016045909510197</v>
      </c>
      <c r="V29" s="9">
        <v>-8.5704716766157691</v>
      </c>
      <c r="W29" s="12">
        <v>-8.5704716766157691</v>
      </c>
    </row>
    <row r="30" spans="1:23">
      <c r="A30" s="102" t="s">
        <v>435</v>
      </c>
      <c r="B30" s="125"/>
      <c r="C30" s="128"/>
      <c r="D30" s="11">
        <f>5-364.5*D31</f>
        <v>9.9241083914668931</v>
      </c>
      <c r="E30" s="9">
        <f>5-364.5*E31</f>
        <v>9.9907251145412275</v>
      </c>
      <c r="F30" s="9">
        <f t="shared" ref="F30:W30" si="1">5-364.5*F31</f>
        <v>9.9943066914883829</v>
      </c>
      <c r="G30" s="9">
        <f t="shared" si="1"/>
        <v>9.9915357568856216</v>
      </c>
      <c r="H30" s="9">
        <f t="shared" si="1"/>
        <v>9.9883432937661922</v>
      </c>
      <c r="I30" s="9">
        <f t="shared" si="1"/>
        <v>9.9858661316048121</v>
      </c>
      <c r="J30" s="9">
        <f t="shared" si="1"/>
        <v>9.982553733680291</v>
      </c>
      <c r="K30" s="9">
        <f t="shared" si="1"/>
        <v>9.9773549250791511</v>
      </c>
      <c r="L30" s="9">
        <f t="shared" si="1"/>
        <v>9.970939276499438</v>
      </c>
      <c r="M30" s="9">
        <f t="shared" si="1"/>
        <v>9.9611257641852653</v>
      </c>
      <c r="N30" s="9">
        <f t="shared" si="1"/>
        <v>9.9455571395947331</v>
      </c>
      <c r="O30" s="9">
        <f t="shared" si="1"/>
        <v>9.923406086009269</v>
      </c>
      <c r="P30" s="9">
        <f t="shared" si="1"/>
        <v>9.8850904919951148</v>
      </c>
      <c r="Q30" s="9">
        <f t="shared" si="1"/>
        <v>9.8254629509552238</v>
      </c>
      <c r="R30" s="9">
        <f t="shared" si="1"/>
        <v>9.7236564875251332</v>
      </c>
      <c r="S30" s="9">
        <f t="shared" si="1"/>
        <v>9.5687513281222891</v>
      </c>
      <c r="T30" s="9">
        <f t="shared" si="1"/>
        <v>9.3238609025814441</v>
      </c>
      <c r="U30" s="9">
        <f t="shared" si="1"/>
        <v>8.965016509490491</v>
      </c>
      <c r="V30" s="9">
        <f t="shared" si="1"/>
        <v>8.5071281205208784</v>
      </c>
      <c r="W30" s="12">
        <f t="shared" si="1"/>
        <v>8.2500000298023224</v>
      </c>
    </row>
    <row r="31" spans="1:23" ht="15" thickBot="1">
      <c r="A31" s="103" t="s">
        <v>436</v>
      </c>
      <c r="B31" s="126"/>
      <c r="C31" s="129"/>
      <c r="D31" s="13">
        <v>-1.350921369401068E-2</v>
      </c>
      <c r="E31" s="14">
        <v>-1.3691975622884029E-2</v>
      </c>
      <c r="F31" s="14">
        <v>-1.3701801622739051E-2</v>
      </c>
      <c r="G31" s="14">
        <v>-1.369419960736796E-2</v>
      </c>
      <c r="H31" s="14">
        <v>-1.3685441135161021E-2</v>
      </c>
      <c r="I31" s="14">
        <v>-1.3678645079848589E-2</v>
      </c>
      <c r="J31" s="14">
        <v>-1.366955756839586E-2</v>
      </c>
      <c r="K31" s="14">
        <v>-1.365529471901002E-2</v>
      </c>
      <c r="L31" s="14">
        <v>-1.363769348833865E-2</v>
      </c>
      <c r="M31" s="14">
        <v>-1.361077027211321E-2</v>
      </c>
      <c r="N31" s="14">
        <v>-1.356805799614467E-2</v>
      </c>
      <c r="O31" s="14">
        <v>-1.350728693006658E-2</v>
      </c>
      <c r="P31" s="14">
        <v>-1.340216870231856E-2</v>
      </c>
      <c r="Q31" s="14">
        <v>-1.3238581484102121E-2</v>
      </c>
      <c r="R31" s="14">
        <v>-1.2959277057682119E-2</v>
      </c>
      <c r="S31" s="14">
        <v>-1.2534297196494621E-2</v>
      </c>
      <c r="T31" s="14">
        <v>-1.1862444177178169E-2</v>
      </c>
      <c r="U31" s="14">
        <v>-1.0877960245515751E-2</v>
      </c>
      <c r="V31" s="14">
        <v>-9.6217506735826585E-3</v>
      </c>
      <c r="W31" s="15">
        <v>-8.916323812900747E-3</v>
      </c>
    </row>
    <row r="33" spans="1:9" ht="15" thickBot="1">
      <c r="A33" s="19" t="s">
        <v>206</v>
      </c>
    </row>
    <row r="34" spans="1:9" ht="15" thickBot="1">
      <c r="B34" s="1" t="s">
        <v>0</v>
      </c>
      <c r="C34" s="3" t="s">
        <v>1</v>
      </c>
      <c r="D34" s="1" t="s">
        <v>45</v>
      </c>
      <c r="E34" s="2" t="s">
        <v>46</v>
      </c>
      <c r="F34" s="2" t="s">
        <v>47</v>
      </c>
      <c r="G34" s="3" t="s">
        <v>48</v>
      </c>
    </row>
    <row r="35" spans="1:9">
      <c r="A35" s="29" t="s">
        <v>42</v>
      </c>
      <c r="B35" s="118" t="s">
        <v>205</v>
      </c>
      <c r="C35" s="121" t="s">
        <v>137</v>
      </c>
      <c r="D35" s="4">
        <v>2.1350320041358801E-2</v>
      </c>
      <c r="E35" s="5">
        <v>0.11704262374808801</v>
      </c>
      <c r="F35" s="5">
        <v>0.25224658112981901</v>
      </c>
      <c r="G35" s="10">
        <v>2.31574953527998E-2</v>
      </c>
    </row>
    <row r="36" spans="1:9">
      <c r="A36" s="31" t="s">
        <v>43</v>
      </c>
      <c r="B36" s="119"/>
      <c r="C36" s="122"/>
      <c r="D36" s="11">
        <v>0.166226971682087</v>
      </c>
      <c r="E36" s="9">
        <v>0.50364311810810503</v>
      </c>
      <c r="F36" s="9">
        <v>0.64235840776669495</v>
      </c>
      <c r="G36" s="12">
        <v>0.15263564345630001</v>
      </c>
    </row>
    <row r="37" spans="1:9" ht="15" thickBot="1">
      <c r="A37" s="30" t="s">
        <v>44</v>
      </c>
      <c r="B37" s="120"/>
      <c r="C37" s="123"/>
      <c r="D37" s="13">
        <v>-8.6230672223863003</v>
      </c>
      <c r="E37" s="14">
        <v>-8.1503226371488999</v>
      </c>
      <c r="F37" s="14"/>
      <c r="G37" s="15"/>
    </row>
    <row r="38" spans="1:9" ht="15" thickBot="1"/>
    <row r="39" spans="1:9" ht="15" thickBot="1">
      <c r="B39" s="1" t="s">
        <v>0</v>
      </c>
      <c r="C39" s="3" t="s">
        <v>1</v>
      </c>
      <c r="D39" s="1" t="s">
        <v>47</v>
      </c>
      <c r="E39" s="3" t="s">
        <v>48</v>
      </c>
    </row>
    <row r="40" spans="1:9">
      <c r="A40" s="29" t="s">
        <v>43</v>
      </c>
      <c r="B40" s="118" t="s">
        <v>205</v>
      </c>
      <c r="C40" s="121" t="s">
        <v>137</v>
      </c>
      <c r="D40" s="4">
        <v>0.64235840776669495</v>
      </c>
      <c r="E40" s="10">
        <v>0.15263564345630001</v>
      </c>
    </row>
    <row r="41" spans="1:9">
      <c r="A41" s="31" t="s">
        <v>42</v>
      </c>
      <c r="B41" s="119"/>
      <c r="C41" s="122"/>
      <c r="D41" s="11">
        <v>0.25224658112981901</v>
      </c>
      <c r="E41" s="12">
        <v>2.31574953527998E-2</v>
      </c>
    </row>
    <row r="42" spans="1:9" ht="15" thickBot="1">
      <c r="A42" s="30" t="s">
        <v>49</v>
      </c>
      <c r="B42" s="120"/>
      <c r="C42" s="123"/>
      <c r="D42" s="13">
        <v>1.1922820679329399E-3</v>
      </c>
      <c r="E42" s="15">
        <v>1.2106203973751999E-3</v>
      </c>
    </row>
    <row r="43" spans="1:9" ht="15" thickBot="1"/>
    <row r="44" spans="1:9" ht="15" thickBot="1">
      <c r="B44" s="1" t="s">
        <v>0</v>
      </c>
      <c r="C44" s="3" t="s">
        <v>1</v>
      </c>
      <c r="D44" s="1" t="s">
        <v>50</v>
      </c>
      <c r="E44" s="3" t="s">
        <v>51</v>
      </c>
    </row>
    <row r="45" spans="1:9" ht="25.2" customHeight="1">
      <c r="A45" s="29" t="s">
        <v>52</v>
      </c>
      <c r="B45" s="118" t="s">
        <v>205</v>
      </c>
      <c r="C45" s="121" t="s">
        <v>137</v>
      </c>
      <c r="D45" s="4">
        <v>0.120731764788215</v>
      </c>
      <c r="E45" s="10">
        <v>0.10261781654242</v>
      </c>
    </row>
    <row r="46" spans="1:9" ht="25.2" customHeight="1" thickBot="1">
      <c r="A46" s="30" t="s">
        <v>53</v>
      </c>
      <c r="B46" s="120"/>
      <c r="C46" s="123"/>
      <c r="D46" s="11">
        <v>1.2525848094948401E-2</v>
      </c>
      <c r="E46" s="12">
        <v>9.4355912917436399E-7</v>
      </c>
    </row>
    <row r="47" spans="1:9" ht="15" thickBot="1"/>
    <row r="48" spans="1:9" ht="15" thickBot="1">
      <c r="B48" s="1" t="s">
        <v>0</v>
      </c>
      <c r="C48" s="3" t="s">
        <v>1</v>
      </c>
      <c r="D48" s="1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3" t="s">
        <v>31</v>
      </c>
    </row>
    <row r="49" spans="1:9" ht="25.2" customHeight="1">
      <c r="A49" s="29" t="s">
        <v>72</v>
      </c>
      <c r="B49" s="118" t="s">
        <v>205</v>
      </c>
      <c r="C49" s="127" t="s">
        <v>137</v>
      </c>
      <c r="D49" s="4">
        <f>-364.5*D50</f>
        <v>-0.14841929966294384</v>
      </c>
      <c r="E49" s="5">
        <f t="shared" ref="E49:I49" si="2">-364.5*E50</f>
        <v>-0.43028325625777886</v>
      </c>
      <c r="F49" s="5">
        <f t="shared" si="2"/>
        <v>-0.41581965792291548</v>
      </c>
      <c r="G49" s="5">
        <f t="shared" si="2"/>
        <v>-0.20331524213574609</v>
      </c>
      <c r="H49" s="5">
        <f t="shared" si="2"/>
        <v>-0.10330567268696254</v>
      </c>
      <c r="I49" s="10">
        <f t="shared" si="2"/>
        <v>-7.6726459755671758E-2</v>
      </c>
    </row>
    <row r="50" spans="1:9" ht="25.2" customHeight="1" thickBot="1">
      <c r="A50" s="30" t="s">
        <v>73</v>
      </c>
      <c r="B50" s="120"/>
      <c r="C50" s="129"/>
      <c r="D50" s="13">
        <v>4.0718600730574442E-4</v>
      </c>
      <c r="E50" s="14">
        <v>1.1804753258100929E-3</v>
      </c>
      <c r="F50" s="14">
        <v>1.140794671942155E-3</v>
      </c>
      <c r="G50" s="14">
        <v>5.5779215949450234E-4</v>
      </c>
      <c r="H50" s="14">
        <v>2.8341748336615239E-4</v>
      </c>
      <c r="I50" s="15">
        <v>2.1049783197715159E-4</v>
      </c>
    </row>
  </sheetData>
  <mergeCells count="16">
    <mergeCell ref="B49:B50"/>
    <mergeCell ref="C49:C50"/>
    <mergeCell ref="B40:B42"/>
    <mergeCell ref="C40:C42"/>
    <mergeCell ref="B45:B46"/>
    <mergeCell ref="C45:C46"/>
    <mergeCell ref="B5:B7"/>
    <mergeCell ref="C5:C7"/>
    <mergeCell ref="B35:B37"/>
    <mergeCell ref="C35:C37"/>
    <mergeCell ref="B27:B31"/>
    <mergeCell ref="C27:C31"/>
    <mergeCell ref="B11:B13"/>
    <mergeCell ref="C11:C13"/>
    <mergeCell ref="B17:B19"/>
    <mergeCell ref="C17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zoomScaleNormal="100" workbookViewId="0"/>
  </sheetViews>
  <sheetFormatPr baseColWidth="10" defaultRowHeight="14.4"/>
  <cols>
    <col min="1" max="1" width="20" customWidth="1"/>
    <col min="2" max="2" width="47.109375" bestFit="1" customWidth="1"/>
    <col min="3" max="3" width="21.6640625" customWidth="1"/>
    <col min="4" max="4" width="13" bestFit="1" customWidth="1"/>
    <col min="5" max="5" width="17.6640625" bestFit="1" customWidth="1"/>
    <col min="6" max="7" width="11.5546875" bestFit="1" customWidth="1"/>
    <col min="8" max="8" width="15.6640625" bestFit="1" customWidth="1"/>
    <col min="9" max="9" width="11" bestFit="1" customWidth="1"/>
    <col min="10" max="14" width="11.5546875" bestFit="1" customWidth="1"/>
    <col min="28" max="29" width="15" bestFit="1" customWidth="1"/>
    <col min="34" max="34" width="12.109375" bestFit="1" customWidth="1"/>
  </cols>
  <sheetData>
    <row r="1" spans="1:28" ht="25.8">
      <c r="A1" s="114" t="s">
        <v>503</v>
      </c>
    </row>
    <row r="3" spans="1:28" ht="15" thickBot="1">
      <c r="A3" s="19" t="s">
        <v>56</v>
      </c>
    </row>
    <row r="4" spans="1:28" ht="15" thickBot="1">
      <c r="B4" s="23" t="s">
        <v>0</v>
      </c>
      <c r="C4" s="24" t="s">
        <v>1</v>
      </c>
      <c r="D4" s="22">
        <v>1</v>
      </c>
      <c r="E4" s="22">
        <v>2</v>
      </c>
      <c r="F4" s="22">
        <v>3</v>
      </c>
      <c r="G4" s="22">
        <v>4</v>
      </c>
      <c r="H4" s="22">
        <v>5</v>
      </c>
      <c r="I4" s="22">
        <v>6</v>
      </c>
      <c r="J4" s="22">
        <v>7</v>
      </c>
      <c r="K4" s="22">
        <v>8</v>
      </c>
      <c r="L4" s="22">
        <v>9</v>
      </c>
      <c r="M4" s="22">
        <v>10</v>
      </c>
      <c r="N4" s="22">
        <v>11</v>
      </c>
      <c r="O4" s="22">
        <v>12</v>
      </c>
      <c r="P4" s="22">
        <v>13</v>
      </c>
      <c r="Q4" s="22">
        <v>14</v>
      </c>
      <c r="R4" s="22">
        <v>15</v>
      </c>
      <c r="S4" s="22">
        <v>16</v>
      </c>
      <c r="T4" s="22">
        <v>17</v>
      </c>
      <c r="U4" s="22">
        <v>18</v>
      </c>
      <c r="V4" s="23">
        <v>19</v>
      </c>
      <c r="W4" s="22">
        <v>20</v>
      </c>
      <c r="X4" s="22">
        <v>21</v>
      </c>
      <c r="Y4" s="22">
        <v>22</v>
      </c>
      <c r="Z4" s="22">
        <v>23</v>
      </c>
      <c r="AA4" s="22">
        <v>24</v>
      </c>
      <c r="AB4" s="24">
        <v>25</v>
      </c>
    </row>
    <row r="5" spans="1:28" ht="14.4" customHeight="1">
      <c r="A5" s="16">
        <v>1</v>
      </c>
      <c r="B5" s="124" t="s">
        <v>208</v>
      </c>
      <c r="C5" s="127" t="s">
        <v>137</v>
      </c>
      <c r="D5" s="25">
        <v>0.3667644370670145</v>
      </c>
      <c r="E5" s="21">
        <v>5.6936153557802578E-2</v>
      </c>
      <c r="F5" s="21">
        <v>3.442944016557814E-3</v>
      </c>
      <c r="G5" s="21">
        <v>1.0136938011790161E-2</v>
      </c>
      <c r="H5" s="21">
        <v>6.1847568492036922E-3</v>
      </c>
      <c r="I5" s="21">
        <v>0</v>
      </c>
      <c r="J5" s="21">
        <v>1.717513463927204E-2</v>
      </c>
      <c r="K5" s="21">
        <v>5.0141643913594099E-3</v>
      </c>
      <c r="L5" s="21">
        <v>3.7815585782902172E-2</v>
      </c>
      <c r="M5" s="21">
        <v>3.5500921793597477E-2</v>
      </c>
      <c r="N5" s="21">
        <v>3.393825457012771E-3</v>
      </c>
      <c r="O5" s="21">
        <v>5.3878729391825557E-3</v>
      </c>
      <c r="P5" s="21">
        <v>2.7798432323902179E-3</v>
      </c>
      <c r="Q5" s="21">
        <v>5.038170742390438E-3</v>
      </c>
      <c r="R5" s="21">
        <v>1.433003571614995E-2</v>
      </c>
      <c r="S5" s="21">
        <v>1.8052083171968051E-2</v>
      </c>
      <c r="T5" s="21">
        <v>1.200125576651073E-2</v>
      </c>
      <c r="U5" s="21">
        <v>5.6387895162083744E-4</v>
      </c>
      <c r="V5" s="21">
        <v>4.1779811918545157E-3</v>
      </c>
      <c r="W5" s="21">
        <v>1.932807798943252E-3</v>
      </c>
      <c r="X5" s="21">
        <v>9.6009390723815237E-3</v>
      </c>
      <c r="Y5" s="21">
        <v>6.8781522715970567E-3</v>
      </c>
      <c r="Z5" s="21">
        <v>1.8393202038955399E-2</v>
      </c>
      <c r="AA5" s="21">
        <v>8.3612088645359049E-3</v>
      </c>
      <c r="AB5" s="27">
        <v>5.6125556400721151E-3</v>
      </c>
    </row>
    <row r="6" spans="1:28">
      <c r="A6" s="17">
        <v>2</v>
      </c>
      <c r="B6" s="125"/>
      <c r="C6" s="128"/>
      <c r="D6" s="20">
        <v>1.0473214242541886E-2</v>
      </c>
      <c r="E6" s="9">
        <v>0.32533491598964143</v>
      </c>
      <c r="F6" s="9">
        <v>1.127420056774318E-3</v>
      </c>
      <c r="G6" s="9">
        <v>3.642853050720451E-3</v>
      </c>
      <c r="H6" s="9">
        <v>1.1908302211003091E-2</v>
      </c>
      <c r="I6" s="9">
        <v>0</v>
      </c>
      <c r="J6" s="9">
        <v>6.8454588804570437E-3</v>
      </c>
      <c r="K6" s="9">
        <v>8.0281680797446818E-4</v>
      </c>
      <c r="L6" s="9">
        <v>2.9129340917036051E-2</v>
      </c>
      <c r="M6" s="9">
        <v>1.0982711360806771E-2</v>
      </c>
      <c r="N6" s="9">
        <v>1.118508998907407E-2</v>
      </c>
      <c r="O6" s="9">
        <v>2.7317750252388029E-3</v>
      </c>
      <c r="P6" s="9">
        <v>1.2825974782695419E-3</v>
      </c>
      <c r="Q6" s="9">
        <v>4.3773198457663946E-3</v>
      </c>
      <c r="R6" s="9">
        <v>1.7167868188508761E-3</v>
      </c>
      <c r="S6" s="9">
        <v>9.0282009988773906E-3</v>
      </c>
      <c r="T6" s="9">
        <v>7.6668994737295933E-3</v>
      </c>
      <c r="U6" s="9">
        <v>4.9298127979361609E-4</v>
      </c>
      <c r="V6" s="9">
        <v>2.529917937374357E-3</v>
      </c>
      <c r="W6" s="9">
        <v>1.946740826153961E-3</v>
      </c>
      <c r="X6" s="9">
        <v>3.1147483776872071E-3</v>
      </c>
      <c r="Y6" s="9">
        <v>3.5739834279721631E-3</v>
      </c>
      <c r="Z6" s="9">
        <v>1.038748642361508E-2</v>
      </c>
      <c r="AA6" s="9">
        <v>6.4463070778641727E-3</v>
      </c>
      <c r="AB6" s="12">
        <v>4.7815925112398476E-3</v>
      </c>
    </row>
    <row r="7" spans="1:28">
      <c r="A7" s="17">
        <v>3</v>
      </c>
      <c r="B7" s="125"/>
      <c r="C7" s="128"/>
      <c r="D7" s="20">
        <v>7.9741414354581285E-3</v>
      </c>
      <c r="E7" s="9">
        <v>1.260175944544718E-2</v>
      </c>
      <c r="F7" s="9">
        <v>0.28481550665696059</v>
      </c>
      <c r="G7" s="9">
        <v>3.1503626413804331E-2</v>
      </c>
      <c r="H7" s="9">
        <v>2.383578952398888E-2</v>
      </c>
      <c r="I7" s="9">
        <v>0</v>
      </c>
      <c r="J7" s="9">
        <v>6.4701227636032137E-3</v>
      </c>
      <c r="K7" s="9">
        <v>0.506729448669754</v>
      </c>
      <c r="L7" s="9">
        <v>2.2349240598995169E-2</v>
      </c>
      <c r="M7" s="9">
        <v>7.7392252035516529E-2</v>
      </c>
      <c r="N7" s="9">
        <v>8.9618282439777874E-3</v>
      </c>
      <c r="O7" s="9">
        <v>0.20219761931319041</v>
      </c>
      <c r="P7" s="9">
        <v>6.1408266537033313E-3</v>
      </c>
      <c r="Q7" s="9">
        <v>1.547676143015113E-2</v>
      </c>
      <c r="R7" s="9">
        <v>1.4835634991878279E-2</v>
      </c>
      <c r="S7" s="9">
        <v>2.5816883586223791E-2</v>
      </c>
      <c r="T7" s="9">
        <v>1.3343222151827009E-2</v>
      </c>
      <c r="U7" s="9">
        <v>0.33243716251909439</v>
      </c>
      <c r="V7" s="9">
        <v>9.5223079450082071E-2</v>
      </c>
      <c r="W7" s="9">
        <v>1.7132926555936429E-2</v>
      </c>
      <c r="X7" s="9">
        <v>8.0612420367309617E-2</v>
      </c>
      <c r="Y7" s="9">
        <v>4.766412731957762E-3</v>
      </c>
      <c r="Z7" s="9">
        <v>2.6573716015599719E-3</v>
      </c>
      <c r="AA7" s="9">
        <v>1.160144300635115E-2</v>
      </c>
      <c r="AB7" s="12">
        <v>9.2205134534358944E-3</v>
      </c>
    </row>
    <row r="8" spans="1:28">
      <c r="A8" s="17">
        <v>4</v>
      </c>
      <c r="B8" s="125"/>
      <c r="C8" s="128"/>
      <c r="D8" s="20">
        <v>1.43220520971863E-3</v>
      </c>
      <c r="E8" s="9">
        <v>1.4268957582057951E-3</v>
      </c>
      <c r="F8" s="9">
        <v>1.9578642921931119E-3</v>
      </c>
      <c r="G8" s="9">
        <v>6.4914503403267473E-2</v>
      </c>
      <c r="H8" s="9">
        <v>2.7359926129808199E-2</v>
      </c>
      <c r="I8" s="9">
        <v>0</v>
      </c>
      <c r="J8" s="9">
        <v>5.5086168479186377E-4</v>
      </c>
      <c r="K8" s="9">
        <v>3.452040153304063E-3</v>
      </c>
      <c r="L8" s="9">
        <v>1.469309329707514E-2</v>
      </c>
      <c r="M8" s="9">
        <v>1.3436499574675621E-2</v>
      </c>
      <c r="N8" s="9">
        <v>4.0082774588121707E-3</v>
      </c>
      <c r="O8" s="9">
        <v>1.9221834512063659E-3</v>
      </c>
      <c r="P8" s="9">
        <v>1.7452210378646931E-3</v>
      </c>
      <c r="Q8" s="9">
        <v>6.4760180242956359E-3</v>
      </c>
      <c r="R8" s="9">
        <v>2.55245766891448E-3</v>
      </c>
      <c r="S8" s="9">
        <v>2.6580861581567989E-3</v>
      </c>
      <c r="T8" s="9">
        <v>1.0069468126353259E-2</v>
      </c>
      <c r="U8" s="9">
        <v>8.0348899423680334E-5</v>
      </c>
      <c r="V8" s="9">
        <v>1.0652903788578499E-2</v>
      </c>
      <c r="W8" s="9">
        <v>3.3371316911224901E-3</v>
      </c>
      <c r="X8" s="9">
        <v>4.1413067272714783E-4</v>
      </c>
      <c r="Y8" s="9">
        <v>3.842155359366685E-4</v>
      </c>
      <c r="Z8" s="9">
        <v>5.944327196044433E-4</v>
      </c>
      <c r="AA8" s="9">
        <v>3.1223520833405078E-3</v>
      </c>
      <c r="AB8" s="12">
        <v>1.493717085128723E-3</v>
      </c>
    </row>
    <row r="9" spans="1:28">
      <c r="A9" s="17">
        <v>5</v>
      </c>
      <c r="B9" s="125"/>
      <c r="C9" s="128"/>
      <c r="D9" s="20">
        <v>1.0147521776404864E-2</v>
      </c>
      <c r="E9" s="9">
        <v>3.9196032697089281E-2</v>
      </c>
      <c r="F9" s="9">
        <v>1.8012145321846251E-2</v>
      </c>
      <c r="G9" s="9">
        <v>3.2964558147885271E-2</v>
      </c>
      <c r="H9" s="9">
        <v>0.2082478212830732</v>
      </c>
      <c r="I9" s="9">
        <v>0</v>
      </c>
      <c r="J9" s="9">
        <v>1.3723381839687731E-2</v>
      </c>
      <c r="K9" s="9">
        <v>8.0773417890810818E-3</v>
      </c>
      <c r="L9" s="9">
        <v>7.8244868195230938E-2</v>
      </c>
      <c r="M9" s="9">
        <v>2.3383465843341202E-2</v>
      </c>
      <c r="N9" s="9">
        <v>0.103790955887217</v>
      </c>
      <c r="O9" s="9">
        <v>2.8739885738178209E-2</v>
      </c>
      <c r="P9" s="9">
        <v>4.006908254977621E-2</v>
      </c>
      <c r="Q9" s="9">
        <v>3.7795848320090107E-2</v>
      </c>
      <c r="R9" s="9">
        <v>2.9467715571262921E-2</v>
      </c>
      <c r="S9" s="9">
        <v>5.6097606382478141E-2</v>
      </c>
      <c r="T9" s="9">
        <v>5.1733170223390017E-2</v>
      </c>
      <c r="U9" s="9">
        <v>2.4652455728991461E-2</v>
      </c>
      <c r="V9" s="9">
        <v>2.618794007653678E-2</v>
      </c>
      <c r="W9" s="9">
        <v>3.6790206094792631E-2</v>
      </c>
      <c r="X9" s="9">
        <v>6.3422188079354279E-3</v>
      </c>
      <c r="Y9" s="9">
        <v>1.160148329656184E-2</v>
      </c>
      <c r="Z9" s="9">
        <v>1.262529939322083E-2</v>
      </c>
      <c r="AA9" s="9">
        <v>4.9311057453861558E-2</v>
      </c>
      <c r="AB9" s="12">
        <v>2.896560323123331E-2</v>
      </c>
    </row>
    <row r="10" spans="1:28">
      <c r="A10" s="17">
        <v>6</v>
      </c>
      <c r="B10" s="125"/>
      <c r="C10" s="128"/>
      <c r="D10" s="20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12">
        <v>0</v>
      </c>
    </row>
    <row r="11" spans="1:28">
      <c r="A11" s="17">
        <v>7</v>
      </c>
      <c r="B11" s="125"/>
      <c r="C11" s="128"/>
      <c r="D11" s="20">
        <v>0.16028201364348182</v>
      </c>
      <c r="E11" s="9">
        <v>0.14064441937416569</v>
      </c>
      <c r="F11" s="9">
        <v>0.1331598767915888</v>
      </c>
      <c r="G11" s="9">
        <v>0.20167080261919701</v>
      </c>
      <c r="H11" s="9">
        <v>0.15957594232281</v>
      </c>
      <c r="I11" s="9">
        <v>0</v>
      </c>
      <c r="J11" s="9">
        <v>0.26467017986959102</v>
      </c>
      <c r="K11" s="9">
        <v>0.10044933067508389</v>
      </c>
      <c r="L11" s="9">
        <v>0.1592604239182793</v>
      </c>
      <c r="M11" s="9">
        <v>0.23072819063763769</v>
      </c>
      <c r="N11" s="9">
        <v>0.1602223881046401</v>
      </c>
      <c r="O11" s="9">
        <v>0.2430145760867691</v>
      </c>
      <c r="P11" s="9">
        <v>0.21416240297202491</v>
      </c>
      <c r="Q11" s="9">
        <v>0.1837882368806435</v>
      </c>
      <c r="R11" s="9">
        <v>0.1962511300997446</v>
      </c>
      <c r="S11" s="9">
        <v>0.33320243306493341</v>
      </c>
      <c r="T11" s="9">
        <v>0.20513075044843471</v>
      </c>
      <c r="U11" s="9">
        <v>0.1161329556687298</v>
      </c>
      <c r="V11" s="9">
        <v>0.24801022780197449</v>
      </c>
      <c r="W11" s="9">
        <v>0.22362439169167209</v>
      </c>
      <c r="X11" s="9">
        <v>0.2506413552272424</v>
      </c>
      <c r="Y11" s="9">
        <v>0.17199075219202589</v>
      </c>
      <c r="Z11" s="9">
        <v>0.21865320442542779</v>
      </c>
      <c r="AA11" s="9">
        <v>0.1958331310660878</v>
      </c>
      <c r="AB11" s="12">
        <v>0.2731469211352488</v>
      </c>
    </row>
    <row r="12" spans="1:28">
      <c r="A12" s="17">
        <v>8</v>
      </c>
      <c r="B12" s="125"/>
      <c r="C12" s="128"/>
      <c r="D12" s="20">
        <v>1.2066540250197177E-4</v>
      </c>
      <c r="E12" s="9">
        <v>3.89970267581099E-4</v>
      </c>
      <c r="F12" s="9">
        <v>1.5024882946155159E-2</v>
      </c>
      <c r="G12" s="9">
        <v>9.3582984736613321E-4</v>
      </c>
      <c r="H12" s="9">
        <v>2.7137768999666708E-3</v>
      </c>
      <c r="I12" s="9">
        <v>0</v>
      </c>
      <c r="J12" s="9">
        <v>2.5572560842445589E-4</v>
      </c>
      <c r="K12" s="9">
        <v>2.7467514807638291E-2</v>
      </c>
      <c r="L12" s="9">
        <v>2.487127554020005E-2</v>
      </c>
      <c r="M12" s="9">
        <v>1.356777874735314E-2</v>
      </c>
      <c r="N12" s="9">
        <v>2.2029266896525539E-4</v>
      </c>
      <c r="O12" s="9">
        <v>3.2435625601778982E-3</v>
      </c>
      <c r="P12" s="9">
        <v>5.2643000887705701E-4</v>
      </c>
      <c r="Q12" s="9">
        <v>1.1649596415045939E-3</v>
      </c>
      <c r="R12" s="9">
        <v>1.0045759009974259E-3</v>
      </c>
      <c r="S12" s="9">
        <v>1.5265805575712999E-3</v>
      </c>
      <c r="T12" s="9">
        <v>1.39870140444915E-3</v>
      </c>
      <c r="U12" s="9">
        <v>1.520628888071794E-2</v>
      </c>
      <c r="V12" s="9">
        <v>3.8355862322307951E-3</v>
      </c>
      <c r="W12" s="9">
        <v>1.891915291412274E-3</v>
      </c>
      <c r="X12" s="9">
        <v>7.4102038255214071E-3</v>
      </c>
      <c r="Y12" s="9">
        <v>3.9848677516856538E-4</v>
      </c>
      <c r="Z12" s="9">
        <v>1.297216902396698E-4</v>
      </c>
      <c r="AA12" s="9">
        <v>8.0553879571171674E-4</v>
      </c>
      <c r="AB12" s="12">
        <v>9.7661399382555233E-4</v>
      </c>
    </row>
    <row r="13" spans="1:28">
      <c r="A13" s="17">
        <v>9</v>
      </c>
      <c r="B13" s="125"/>
      <c r="C13" s="128"/>
      <c r="D13" s="20">
        <v>2.9542517471875557E-2</v>
      </c>
      <c r="E13" s="9">
        <v>5.8390700397720471E-2</v>
      </c>
      <c r="F13" s="9">
        <v>1.7043331891018559E-2</v>
      </c>
      <c r="G13" s="9">
        <v>2.2643414922966159E-2</v>
      </c>
      <c r="H13" s="9">
        <v>3.3583888739082218E-2</v>
      </c>
      <c r="I13" s="9">
        <v>0</v>
      </c>
      <c r="J13" s="9">
        <v>7.8740211621395398E-3</v>
      </c>
      <c r="K13" s="9">
        <v>2.4962355987093031E-2</v>
      </c>
      <c r="L13" s="9">
        <v>0.28658766313544531</v>
      </c>
      <c r="M13" s="9">
        <v>0.1646984146650263</v>
      </c>
      <c r="N13" s="9">
        <v>3.8876422715385738E-2</v>
      </c>
      <c r="O13" s="9">
        <v>6.2472320034362263E-3</v>
      </c>
      <c r="P13" s="9">
        <v>2.757258380654078E-3</v>
      </c>
      <c r="Q13" s="9">
        <v>4.202804048547071E-3</v>
      </c>
      <c r="R13" s="9">
        <v>5.3679115155426298E-3</v>
      </c>
      <c r="S13" s="9">
        <v>8.5210321048727021E-3</v>
      </c>
      <c r="T13" s="9">
        <v>8.421418806740813E-3</v>
      </c>
      <c r="U13" s="9">
        <v>1.734890143218116E-3</v>
      </c>
      <c r="V13" s="9">
        <v>4.4240285646965716E-3</v>
      </c>
      <c r="W13" s="9">
        <v>3.7540117061461417E-2</v>
      </c>
      <c r="X13" s="9">
        <v>5.6921309836203277E-3</v>
      </c>
      <c r="Y13" s="9">
        <v>3.4032556524914632E-3</v>
      </c>
      <c r="Z13" s="9">
        <v>7.9044607078611953E-2</v>
      </c>
      <c r="AA13" s="9">
        <v>1.4169102128574029E-2</v>
      </c>
      <c r="AB13" s="12">
        <v>8.1007425762811298E-3</v>
      </c>
    </row>
    <row r="14" spans="1:28">
      <c r="A14" s="17">
        <v>10</v>
      </c>
      <c r="B14" s="125"/>
      <c r="C14" s="128"/>
      <c r="D14" s="20">
        <v>6.4968331746511479E-5</v>
      </c>
      <c r="E14" s="9">
        <v>5.6168127232145048E-5</v>
      </c>
      <c r="F14" s="9">
        <v>1.5581804000878541E-4</v>
      </c>
      <c r="G14" s="9">
        <v>2.3909216238776341E-4</v>
      </c>
      <c r="H14" s="9">
        <v>7.9953504462246862E-5</v>
      </c>
      <c r="I14" s="9">
        <v>0</v>
      </c>
      <c r="J14" s="9">
        <v>8.6416188761069378E-5</v>
      </c>
      <c r="K14" s="9">
        <v>6.7010395913769051E-5</v>
      </c>
      <c r="L14" s="9">
        <v>3.9483643000018587E-4</v>
      </c>
      <c r="M14" s="9">
        <v>2.5664356939368382E-4</v>
      </c>
      <c r="N14" s="9">
        <v>4.4177243505894092E-5</v>
      </c>
      <c r="O14" s="9">
        <v>1.797442949963763E-3</v>
      </c>
      <c r="P14" s="9">
        <v>1.273555902364258E-3</v>
      </c>
      <c r="Q14" s="9">
        <v>5.2278263141254525E-4</v>
      </c>
      <c r="R14" s="9">
        <v>2.1138671399093109E-3</v>
      </c>
      <c r="S14" s="9">
        <v>7.9060228255434083E-3</v>
      </c>
      <c r="T14" s="9">
        <v>1.888408467265155E-3</v>
      </c>
      <c r="U14" s="9">
        <v>1.1846410554909159E-5</v>
      </c>
      <c r="V14" s="9">
        <v>6.8811509304374298E-5</v>
      </c>
      <c r="W14" s="9">
        <v>3.1993214435477839E-4</v>
      </c>
      <c r="X14" s="9">
        <v>4.7589545017047029E-4</v>
      </c>
      <c r="Y14" s="9">
        <v>6.2075381133510851E-5</v>
      </c>
      <c r="Z14" s="9">
        <v>4.2732730454769347E-5</v>
      </c>
      <c r="AA14" s="9">
        <v>1.4961468621482629E-4</v>
      </c>
      <c r="AB14" s="12">
        <v>1.4050301573442141E-4</v>
      </c>
    </row>
    <row r="15" spans="1:28">
      <c r="A15" s="17">
        <v>11</v>
      </c>
      <c r="B15" s="125"/>
      <c r="C15" s="128"/>
      <c r="D15" s="20">
        <v>1.4484177093716548E-2</v>
      </c>
      <c r="E15" s="9">
        <v>2.5603862569102281E-2</v>
      </c>
      <c r="F15" s="9">
        <v>2.7720864708768181E-2</v>
      </c>
      <c r="G15" s="9">
        <v>6.2984282932331159E-2</v>
      </c>
      <c r="H15" s="9">
        <v>0.12199547618087619</v>
      </c>
      <c r="I15" s="9">
        <v>0</v>
      </c>
      <c r="J15" s="9">
        <v>2.2884664348122571E-2</v>
      </c>
      <c r="K15" s="9">
        <v>1.6353183690639189E-2</v>
      </c>
      <c r="L15" s="9">
        <v>4.330404192531824E-2</v>
      </c>
      <c r="M15" s="9">
        <v>4.2805069711458803E-2</v>
      </c>
      <c r="N15" s="9">
        <v>0.33491679370945188</v>
      </c>
      <c r="O15" s="9">
        <v>6.655367448595606E-2</v>
      </c>
      <c r="P15" s="9">
        <v>2.8775742312845669E-2</v>
      </c>
      <c r="Q15" s="9">
        <v>4.1370035263765793E-2</v>
      </c>
      <c r="R15" s="9">
        <v>2.4184126210035212E-2</v>
      </c>
      <c r="S15" s="9">
        <v>4.3423477728635057E-2</v>
      </c>
      <c r="T15" s="9">
        <v>2.1268709155750722E-2</v>
      </c>
      <c r="U15" s="9">
        <v>6.7082702050553413E-3</v>
      </c>
      <c r="V15" s="9">
        <v>1.389986024105677E-2</v>
      </c>
      <c r="W15" s="9">
        <v>2.1620419428627989E-2</v>
      </c>
      <c r="X15" s="9">
        <v>3.6486518490673372E-2</v>
      </c>
      <c r="Y15" s="9">
        <v>1.7261211716239049E-2</v>
      </c>
      <c r="Z15" s="9">
        <v>3.063454487688308E-2</v>
      </c>
      <c r="AA15" s="9">
        <v>6.0127035812062267E-2</v>
      </c>
      <c r="AB15" s="12">
        <v>4.8210825376972133E-2</v>
      </c>
    </row>
    <row r="16" spans="1:28">
      <c r="A16" s="17">
        <v>12</v>
      </c>
      <c r="B16" s="125"/>
      <c r="C16" s="128"/>
      <c r="D16" s="20">
        <v>5.2209256568337119E-3</v>
      </c>
      <c r="E16" s="9">
        <v>5.2750130855217982E-3</v>
      </c>
      <c r="F16" s="9">
        <v>6.8737344369596337E-3</v>
      </c>
      <c r="G16" s="9">
        <v>2.459661490179393E-2</v>
      </c>
      <c r="H16" s="9">
        <v>4.8323775145400491E-3</v>
      </c>
      <c r="I16" s="9">
        <v>0</v>
      </c>
      <c r="J16" s="9">
        <v>4.3929874289434911E-3</v>
      </c>
      <c r="K16" s="9">
        <v>7.7291359693223609E-3</v>
      </c>
      <c r="L16" s="9">
        <v>4.2529339831226948E-3</v>
      </c>
      <c r="M16" s="9">
        <v>6.128013720507368E-3</v>
      </c>
      <c r="N16" s="9">
        <v>5.3799116996104323E-3</v>
      </c>
      <c r="O16" s="9">
        <v>7.1961796181887559E-3</v>
      </c>
      <c r="P16" s="9">
        <v>1.13697590309345E-2</v>
      </c>
      <c r="Q16" s="9">
        <v>2.5313492264794271E-4</v>
      </c>
      <c r="R16" s="9">
        <v>7.0830397152474994E-4</v>
      </c>
      <c r="S16" s="9">
        <v>1.1184290744418251E-2</v>
      </c>
      <c r="T16" s="9">
        <v>3.873299584068202E-3</v>
      </c>
      <c r="U16" s="9">
        <v>4.4668142943733128E-4</v>
      </c>
      <c r="V16" s="9">
        <v>2.878634784414223E-3</v>
      </c>
      <c r="W16" s="9">
        <v>2.959871039961955E-3</v>
      </c>
      <c r="X16" s="9">
        <v>2.1519638534748752E-3</v>
      </c>
      <c r="Y16" s="9">
        <v>3.6311539908707169E-3</v>
      </c>
      <c r="Z16" s="9">
        <v>2.8641762561943309E-3</v>
      </c>
      <c r="AA16" s="9">
        <v>6.4299257977669848E-3</v>
      </c>
      <c r="AB16" s="12">
        <v>2.6618617445139628E-3</v>
      </c>
    </row>
    <row r="17" spans="1:29">
      <c r="A17" s="17">
        <v>13</v>
      </c>
      <c r="B17" s="125"/>
      <c r="C17" s="128"/>
      <c r="D17" s="20">
        <v>7.3393142338536079E-4</v>
      </c>
      <c r="E17" s="9">
        <v>9.7284778969790959E-4</v>
      </c>
      <c r="F17" s="9">
        <v>6.0043207493825539E-4</v>
      </c>
      <c r="G17" s="9">
        <v>1.1146196758099081E-3</v>
      </c>
      <c r="H17" s="9">
        <v>9.5477476433996429E-4</v>
      </c>
      <c r="I17" s="9">
        <v>0</v>
      </c>
      <c r="J17" s="9">
        <v>7.760277122163087E-4</v>
      </c>
      <c r="K17" s="9">
        <v>7.5039321840284585E-4</v>
      </c>
      <c r="L17" s="9">
        <v>1.463882802768572E-3</v>
      </c>
      <c r="M17" s="9">
        <v>1.7001148206533851E-3</v>
      </c>
      <c r="N17" s="9">
        <v>7.4342867658312554E-4</v>
      </c>
      <c r="O17" s="9">
        <v>7.08680556896377E-3</v>
      </c>
      <c r="P17" s="9">
        <v>1.358577272246788E-2</v>
      </c>
      <c r="Q17" s="9">
        <v>7.7035461805575399E-5</v>
      </c>
      <c r="R17" s="9">
        <v>1.402237257219145E-4</v>
      </c>
      <c r="S17" s="9">
        <v>1.3265704098179331E-2</v>
      </c>
      <c r="T17" s="9">
        <v>8.5633645441657801E-4</v>
      </c>
      <c r="U17" s="9">
        <v>1.362400516506095E-4</v>
      </c>
      <c r="V17" s="9">
        <v>1.839490587365828E-4</v>
      </c>
      <c r="W17" s="9">
        <v>1.348171684805051E-3</v>
      </c>
      <c r="X17" s="9">
        <v>4.7496158940092919E-4</v>
      </c>
      <c r="Y17" s="9">
        <v>9.058849140731887E-4</v>
      </c>
      <c r="Z17" s="9">
        <v>6.0332863174873913E-4</v>
      </c>
      <c r="AA17" s="9">
        <v>1.610842822384888E-3</v>
      </c>
      <c r="AB17" s="12">
        <v>8.2789603705321873E-4</v>
      </c>
    </row>
    <row r="18" spans="1:29">
      <c r="A18" s="17">
        <v>14</v>
      </c>
      <c r="B18" s="125"/>
      <c r="C18" s="128"/>
      <c r="D18" s="20">
        <v>1.082165164120104E-3</v>
      </c>
      <c r="E18" s="9">
        <v>1.4823783436102879E-3</v>
      </c>
      <c r="F18" s="9">
        <v>1.6023799649258479E-3</v>
      </c>
      <c r="G18" s="9">
        <v>5.3710662832481991E-3</v>
      </c>
      <c r="H18" s="9">
        <v>9.3648606578032199E-4</v>
      </c>
      <c r="I18" s="9">
        <v>0</v>
      </c>
      <c r="J18" s="9">
        <v>8.0780741863708931E-4</v>
      </c>
      <c r="K18" s="9">
        <v>1.179188717527367E-3</v>
      </c>
      <c r="L18" s="9">
        <v>1.665067032639114E-3</v>
      </c>
      <c r="M18" s="9">
        <v>3.539244861111577E-3</v>
      </c>
      <c r="N18" s="9">
        <v>9.2221061139825822E-4</v>
      </c>
      <c r="O18" s="9">
        <v>2.1907864279517681E-4</v>
      </c>
      <c r="P18" s="9">
        <v>1.2928885991182111E-4</v>
      </c>
      <c r="Q18" s="9">
        <v>2.106793315631294E-4</v>
      </c>
      <c r="R18" s="9">
        <v>1.850122697320161E-4</v>
      </c>
      <c r="S18" s="9">
        <v>3.4997468167977959E-4</v>
      </c>
      <c r="T18" s="9">
        <v>9.3069147251945551E-4</v>
      </c>
      <c r="U18" s="9">
        <v>7.4077657409864437E-5</v>
      </c>
      <c r="V18" s="9">
        <v>8.2040882697429222E-4</v>
      </c>
      <c r="W18" s="9">
        <v>1.6668481876319711E-4</v>
      </c>
      <c r="X18" s="9">
        <v>4.3818028314924709E-4</v>
      </c>
      <c r="Y18" s="9">
        <v>5.2981203127090302E-4</v>
      </c>
      <c r="Z18" s="9">
        <v>4.3627008272124559E-4</v>
      </c>
      <c r="AA18" s="9">
        <v>1.5777451877278319E-3</v>
      </c>
      <c r="AB18" s="12">
        <v>8.7434745259923731E-4</v>
      </c>
    </row>
    <row r="19" spans="1:29">
      <c r="A19" s="17">
        <v>15</v>
      </c>
      <c r="B19" s="125"/>
      <c r="C19" s="128"/>
      <c r="D19" s="20">
        <v>1.2685337260574464E-4</v>
      </c>
      <c r="E19" s="9">
        <v>1.181113197886008E-4</v>
      </c>
      <c r="F19" s="9">
        <v>5.6132658535447362E-5</v>
      </c>
      <c r="G19" s="9">
        <v>3.1104183309750002E-4</v>
      </c>
      <c r="H19" s="9">
        <v>1.14806333115717E-4</v>
      </c>
      <c r="I19" s="9">
        <v>0</v>
      </c>
      <c r="J19" s="9">
        <v>8.0626888598685231E-5</v>
      </c>
      <c r="K19" s="9">
        <v>3.1307363164117509E-5</v>
      </c>
      <c r="L19" s="9">
        <v>1.5473019877789801E-4</v>
      </c>
      <c r="M19" s="9">
        <v>2.8199344218320571E-4</v>
      </c>
      <c r="N19" s="9">
        <v>7.22826372023168E-5</v>
      </c>
      <c r="O19" s="9">
        <v>2.1531987082508881E-5</v>
      </c>
      <c r="P19" s="9">
        <v>1.5647776795361671E-5</v>
      </c>
      <c r="Q19" s="9">
        <v>2.4850028401337632E-5</v>
      </c>
      <c r="R19" s="9">
        <v>2.6544544645093889E-5</v>
      </c>
      <c r="S19" s="9">
        <v>5.7858764654248219E-5</v>
      </c>
      <c r="T19" s="9">
        <v>1.303352679473739E-4</v>
      </c>
      <c r="U19" s="9">
        <v>7.2370082219992696E-5</v>
      </c>
      <c r="V19" s="9">
        <v>3.4220678907823583E-5</v>
      </c>
      <c r="W19" s="9">
        <v>4.7634836378345884E-6</v>
      </c>
      <c r="X19" s="9">
        <v>4.9467933366079168E-5</v>
      </c>
      <c r="Y19" s="9">
        <v>5.7467112867306827E-5</v>
      </c>
      <c r="Z19" s="9">
        <v>4.2295367164465912E-5</v>
      </c>
      <c r="AA19" s="9">
        <v>8.2918406598438303E-5</v>
      </c>
      <c r="AB19" s="12">
        <v>1.553085036108659E-4</v>
      </c>
    </row>
    <row r="20" spans="1:29">
      <c r="A20" s="17">
        <v>16</v>
      </c>
      <c r="B20" s="125"/>
      <c r="C20" s="128"/>
      <c r="D20" s="20">
        <v>1.2140347206387404E-4</v>
      </c>
      <c r="E20" s="9">
        <v>1.522075463325827E-4</v>
      </c>
      <c r="F20" s="9">
        <v>7.9872028037037112E-5</v>
      </c>
      <c r="G20" s="9">
        <v>2.5573579716366932E-4</v>
      </c>
      <c r="H20" s="9">
        <v>1.2151401386670459E-4</v>
      </c>
      <c r="I20" s="9">
        <v>0</v>
      </c>
      <c r="J20" s="9">
        <v>9.1432383041185929E-5</v>
      </c>
      <c r="K20" s="9">
        <v>6.1018853875016433E-5</v>
      </c>
      <c r="L20" s="9">
        <v>2.119784303922995E-4</v>
      </c>
      <c r="M20" s="9">
        <v>3.8745417899605232E-4</v>
      </c>
      <c r="N20" s="9">
        <v>1.01118326002972E-4</v>
      </c>
      <c r="O20" s="9">
        <v>1.2414155671124181E-4</v>
      </c>
      <c r="P20" s="9">
        <v>2.6890947538212181E-4</v>
      </c>
      <c r="Q20" s="9">
        <v>2.7850426829088769E-5</v>
      </c>
      <c r="R20" s="9">
        <v>2.0825146765412768E-5</v>
      </c>
      <c r="S20" s="9">
        <v>3.1035493898557879E-4</v>
      </c>
      <c r="T20" s="9">
        <v>1.418841240603543E-4</v>
      </c>
      <c r="U20" s="9">
        <v>1.254688994622716E-5</v>
      </c>
      <c r="V20" s="9">
        <v>5.2150276197482562E-5</v>
      </c>
      <c r="W20" s="9">
        <v>7.3572614700802771E-5</v>
      </c>
      <c r="X20" s="9">
        <v>6.8720269726502167E-5</v>
      </c>
      <c r="Y20" s="9">
        <v>8.336982530507273E-5</v>
      </c>
      <c r="Z20" s="9">
        <v>7.346697255683661E-5</v>
      </c>
      <c r="AA20" s="9">
        <v>1.8007617512722009E-4</v>
      </c>
      <c r="AB20" s="12">
        <v>2.8712764436804962E-4</v>
      </c>
    </row>
    <row r="21" spans="1:29">
      <c r="A21" s="17">
        <v>17</v>
      </c>
      <c r="B21" s="125"/>
      <c r="C21" s="128"/>
      <c r="D21" s="20">
        <v>1.5517504791828594E-5</v>
      </c>
      <c r="E21" s="9">
        <v>1.6134832902771731E-5</v>
      </c>
      <c r="F21" s="9">
        <v>8.7253754249399357E-6</v>
      </c>
      <c r="G21" s="9">
        <v>4.101085220421078E-5</v>
      </c>
      <c r="H21" s="9">
        <v>1.233608574751984E-5</v>
      </c>
      <c r="I21" s="9">
        <v>0</v>
      </c>
      <c r="J21" s="9">
        <v>6.5288338690198587E-6</v>
      </c>
      <c r="K21" s="9">
        <v>7.7916463327511954E-6</v>
      </c>
      <c r="L21" s="9">
        <v>5.5911968863147629E-5</v>
      </c>
      <c r="M21" s="9">
        <v>4.0501903876616997E-5</v>
      </c>
      <c r="N21" s="9">
        <v>9.046292433528879E-6</v>
      </c>
      <c r="O21" s="9">
        <v>3.5164985108079852E-6</v>
      </c>
      <c r="P21" s="9">
        <v>5.3695419709239973E-6</v>
      </c>
      <c r="Q21" s="9">
        <v>6.0851878984179122E-6</v>
      </c>
      <c r="R21" s="9">
        <v>5.3661663830991072E-6</v>
      </c>
      <c r="S21" s="9">
        <v>1.2716397051403671E-5</v>
      </c>
      <c r="T21" s="9">
        <v>2.9931359253608011E-5</v>
      </c>
      <c r="U21" s="9">
        <v>1.248666321000865E-5</v>
      </c>
      <c r="V21" s="9">
        <v>4.8330790596357549E-6</v>
      </c>
      <c r="W21" s="9">
        <v>9.7492073489209427E-7</v>
      </c>
      <c r="X21" s="9">
        <v>7.8499215418157479E-6</v>
      </c>
      <c r="Y21" s="9">
        <v>2.1592876584706131E-5</v>
      </c>
      <c r="Z21" s="9">
        <v>7.6311037328966692E-6</v>
      </c>
      <c r="AA21" s="9">
        <v>1.6188435790568831E-5</v>
      </c>
      <c r="AB21" s="12">
        <v>3.1580848881957653E-5</v>
      </c>
    </row>
    <row r="22" spans="1:29">
      <c r="A22" s="17">
        <v>18</v>
      </c>
      <c r="B22" s="125"/>
      <c r="C22" s="128"/>
      <c r="D22" s="20">
        <v>5.0273902420484853E-7</v>
      </c>
      <c r="E22" s="9">
        <v>4.7344814685792192E-7</v>
      </c>
      <c r="F22" s="9">
        <v>2.5187707538044949E-7</v>
      </c>
      <c r="G22" s="9">
        <v>2.8277527064566592E-6</v>
      </c>
      <c r="H22" s="9">
        <v>3.5446151489104441E-7</v>
      </c>
      <c r="I22" s="9">
        <v>0</v>
      </c>
      <c r="J22" s="9">
        <v>2.2050442322533721E-7</v>
      </c>
      <c r="K22" s="9">
        <v>1.497469353697753E-7</v>
      </c>
      <c r="L22" s="9">
        <v>5.1557732997446388E-7</v>
      </c>
      <c r="M22" s="9">
        <v>1.2408867571292761E-6</v>
      </c>
      <c r="N22" s="9">
        <v>2.9011156588688501E-7</v>
      </c>
      <c r="O22" s="9">
        <v>1.5209872867283789E-8</v>
      </c>
      <c r="P22" s="9">
        <v>1.6793670650268089E-8</v>
      </c>
      <c r="Q22" s="9">
        <v>9.3554792847189257E-9</v>
      </c>
      <c r="R22" s="9">
        <v>8.0319858369118173E-8</v>
      </c>
      <c r="S22" s="9">
        <v>6.9744111022165672E-8</v>
      </c>
      <c r="T22" s="9">
        <v>1.270769113843132E-8</v>
      </c>
      <c r="U22" s="9">
        <v>2.1760979284535551E-6</v>
      </c>
      <c r="V22" s="9">
        <v>7.7886995313637581E-11</v>
      </c>
      <c r="W22" s="9">
        <v>3.9133556326908454E-9</v>
      </c>
      <c r="X22" s="9">
        <v>1.4167630618763749E-7</v>
      </c>
      <c r="Y22" s="9">
        <v>5.3046310764820006E-7</v>
      </c>
      <c r="Z22" s="9">
        <v>1.2635360968036699E-7</v>
      </c>
      <c r="AA22" s="9">
        <v>2.6267879079858491E-7</v>
      </c>
      <c r="AB22" s="12">
        <v>1.513456024406594E-6</v>
      </c>
    </row>
    <row r="23" spans="1:29">
      <c r="A23" s="17">
        <v>19</v>
      </c>
      <c r="B23" s="125"/>
      <c r="C23" s="128"/>
      <c r="D23" s="20">
        <v>1.1209149124714048E-6</v>
      </c>
      <c r="E23" s="9">
        <v>1.620997505784236E-6</v>
      </c>
      <c r="F23" s="9">
        <v>5.3684677826668065E-7</v>
      </c>
      <c r="G23" s="9">
        <v>4.4497528293945556E-6</v>
      </c>
      <c r="H23" s="9">
        <v>6.1159636234509555E-7</v>
      </c>
      <c r="I23" s="9">
        <v>0</v>
      </c>
      <c r="J23" s="9">
        <v>2.8272133188374012E-7</v>
      </c>
      <c r="K23" s="9">
        <v>6.4629733002535351E-7</v>
      </c>
      <c r="L23" s="9">
        <v>1.76882081948267E-6</v>
      </c>
      <c r="M23" s="9">
        <v>2.323742243544601E-6</v>
      </c>
      <c r="N23" s="9">
        <v>2.5181788695168201E-7</v>
      </c>
      <c r="O23" s="9">
        <v>5.3911850076437316E-7</v>
      </c>
      <c r="P23" s="9">
        <v>1.8523369454519519E-6</v>
      </c>
      <c r="Q23" s="9">
        <v>4.9647992763525963E-7</v>
      </c>
      <c r="R23" s="9">
        <v>9.3735259435171897E-8</v>
      </c>
      <c r="S23" s="9">
        <v>1.2165804956584561E-6</v>
      </c>
      <c r="T23" s="9">
        <v>1.966503420902773E-7</v>
      </c>
      <c r="U23" s="9">
        <v>1.5852137814772799E-10</v>
      </c>
      <c r="V23" s="9">
        <v>4.3618327765241836E-6</v>
      </c>
      <c r="W23" s="9">
        <v>3.2407425518816651E-7</v>
      </c>
      <c r="X23" s="9">
        <v>1.3297542358365709E-7</v>
      </c>
      <c r="Y23" s="9">
        <v>2.4644673613648962E-7</v>
      </c>
      <c r="Z23" s="9">
        <v>2.5460138212074651E-7</v>
      </c>
      <c r="AA23" s="9">
        <v>2.8643333190868362E-7</v>
      </c>
      <c r="AB23" s="12">
        <v>5.6588450087252795E-7</v>
      </c>
    </row>
    <row r="24" spans="1:29">
      <c r="A24" s="17">
        <v>20</v>
      </c>
      <c r="B24" s="125"/>
      <c r="C24" s="128"/>
      <c r="D24" s="20">
        <v>2.2581330257893816E-5</v>
      </c>
      <c r="E24" s="9">
        <v>4.6600047885464319E-5</v>
      </c>
      <c r="F24" s="9">
        <v>2.211260449810427E-5</v>
      </c>
      <c r="G24" s="9">
        <v>7.7817453296757745E-5</v>
      </c>
      <c r="H24" s="9">
        <v>1.865233832173948E-5</v>
      </c>
      <c r="I24" s="9">
        <v>0</v>
      </c>
      <c r="J24" s="9">
        <v>1.7825391931677979E-5</v>
      </c>
      <c r="K24" s="9">
        <v>1.349828173748678E-5</v>
      </c>
      <c r="L24" s="9">
        <v>8.2342377242096209E-5</v>
      </c>
      <c r="M24" s="9">
        <v>2.7943611783315502E-5</v>
      </c>
      <c r="N24" s="9">
        <v>1.4843440540823131E-5</v>
      </c>
      <c r="O24" s="9">
        <v>1.631976486026259E-5</v>
      </c>
      <c r="P24" s="9">
        <v>5.4581714805952809E-5</v>
      </c>
      <c r="Q24" s="9">
        <v>6.349877050759423E-6</v>
      </c>
      <c r="R24" s="9">
        <v>4.4839396324858913E-6</v>
      </c>
      <c r="S24" s="9">
        <v>3.8164902943808579E-5</v>
      </c>
      <c r="T24" s="9">
        <v>4.9020439846738921E-5</v>
      </c>
      <c r="U24" s="9">
        <v>9.5597115858282328E-7</v>
      </c>
      <c r="V24" s="9">
        <v>2.81116771647129E-5</v>
      </c>
      <c r="W24" s="9">
        <v>1.368232342516466E-5</v>
      </c>
      <c r="X24" s="9">
        <v>1.2460824443278691E-5</v>
      </c>
      <c r="Y24" s="9">
        <v>2.157888376065449E-5</v>
      </c>
      <c r="Z24" s="9">
        <v>1.5011971821781389E-5</v>
      </c>
      <c r="AA24" s="9">
        <v>2.4357550609656401E-5</v>
      </c>
      <c r="AB24" s="12">
        <v>1.2939166477234969E-5</v>
      </c>
    </row>
    <row r="25" spans="1:29">
      <c r="A25" s="17">
        <v>21</v>
      </c>
      <c r="B25" s="125"/>
      <c r="C25" s="128"/>
      <c r="D25" s="20">
        <v>2.2209164692693514E-2</v>
      </c>
      <c r="E25" s="9">
        <v>1.914142232655431E-2</v>
      </c>
      <c r="F25" s="9">
        <v>2.0247649677415939E-2</v>
      </c>
      <c r="G25" s="9">
        <v>4.6872132726847968E-2</v>
      </c>
      <c r="H25" s="9">
        <v>2.9922517160498451E-2</v>
      </c>
      <c r="I25" s="9">
        <v>0</v>
      </c>
      <c r="J25" s="9">
        <v>2.033788619840439E-2</v>
      </c>
      <c r="K25" s="9">
        <v>1.422860153261233E-2</v>
      </c>
      <c r="L25" s="9">
        <v>1.528951978824254E-2</v>
      </c>
      <c r="M25" s="9">
        <v>3.1988800569947559E-2</v>
      </c>
      <c r="N25" s="9">
        <v>1.6782679150205749E-2</v>
      </c>
      <c r="O25" s="9">
        <v>2.8496385389400209E-2</v>
      </c>
      <c r="P25" s="9">
        <v>1.217438534684083E-2</v>
      </c>
      <c r="Q25" s="9">
        <v>1.186085113027602E-2</v>
      </c>
      <c r="R25" s="9">
        <v>2.479995605860013E-2</v>
      </c>
      <c r="S25" s="9">
        <v>3.9300428998772403E-2</v>
      </c>
      <c r="T25" s="9">
        <v>2.539293006030505E-2</v>
      </c>
      <c r="U25" s="9">
        <v>3.682202351847999E-2</v>
      </c>
      <c r="V25" s="9">
        <v>4.618485109042033E-2</v>
      </c>
      <c r="W25" s="9">
        <v>5.5577535786091148E-2</v>
      </c>
      <c r="X25" s="9">
        <v>7.6365619622057318E-2</v>
      </c>
      <c r="Y25" s="9">
        <v>1.8150182660850951E-2</v>
      </c>
      <c r="Z25" s="9">
        <v>1.2231703456506961E-2</v>
      </c>
      <c r="AA25" s="9">
        <v>3.009537230584004E-2</v>
      </c>
      <c r="AB25" s="12">
        <v>3.9467346018847639E-2</v>
      </c>
    </row>
    <row r="26" spans="1:29">
      <c r="A26" s="17">
        <v>22</v>
      </c>
      <c r="B26" s="125"/>
      <c r="C26" s="128"/>
      <c r="D26" s="20">
        <v>2.6363103310189005E-4</v>
      </c>
      <c r="E26" s="9">
        <v>2.4065256568668071E-4</v>
      </c>
      <c r="F26" s="9">
        <v>2.4599557233919361E-4</v>
      </c>
      <c r="G26" s="9">
        <v>3.6961142917616948E-4</v>
      </c>
      <c r="H26" s="9">
        <v>2.6220324911981708E-4</v>
      </c>
      <c r="I26" s="9">
        <v>0</v>
      </c>
      <c r="J26" s="9">
        <v>1.849813060832882E-3</v>
      </c>
      <c r="K26" s="9">
        <v>1.9724403029211309E-4</v>
      </c>
      <c r="L26" s="9">
        <v>3.5476681661118661E-4</v>
      </c>
      <c r="M26" s="9">
        <v>6.9350940220937868E-4</v>
      </c>
      <c r="N26" s="9">
        <v>3.438259591188827E-4</v>
      </c>
      <c r="O26" s="9">
        <v>6.6644375528981633E-4</v>
      </c>
      <c r="P26" s="9">
        <v>1.2846036414627311E-3</v>
      </c>
      <c r="Q26" s="9">
        <v>5.5933385255008377E-4</v>
      </c>
      <c r="R26" s="9">
        <v>1.4619036268246829E-3</v>
      </c>
      <c r="S26" s="9">
        <v>1.017324574029612E-3</v>
      </c>
      <c r="T26" s="9">
        <v>8.2127116296431071E-4</v>
      </c>
      <c r="U26" s="9">
        <v>1.940454955050995E-3</v>
      </c>
      <c r="V26" s="9">
        <v>2.6109426775632418E-4</v>
      </c>
      <c r="W26" s="9">
        <v>1.909196364172082E-3</v>
      </c>
      <c r="X26" s="9">
        <v>6.6912662550045474E-4</v>
      </c>
      <c r="Y26" s="9">
        <v>1.192198268446438E-2</v>
      </c>
      <c r="Z26" s="9">
        <v>1.4135707015807001E-3</v>
      </c>
      <c r="AA26" s="9">
        <v>1.9620979026800361E-3</v>
      </c>
      <c r="AB26" s="12">
        <v>1.576168386915677E-3</v>
      </c>
    </row>
    <row r="27" spans="1:29">
      <c r="A27" s="17">
        <v>23</v>
      </c>
      <c r="B27" s="125"/>
      <c r="C27" s="128"/>
      <c r="D27" s="20">
        <v>2.7529415521472365E-4</v>
      </c>
      <c r="E27" s="9">
        <v>2.0441535977423189E-4</v>
      </c>
      <c r="F27" s="9">
        <v>1.5879554792403499E-4</v>
      </c>
      <c r="G27" s="9">
        <v>4.403533532089303E-4</v>
      </c>
      <c r="H27" s="9">
        <v>4.0263152232367018E-4</v>
      </c>
      <c r="I27" s="9">
        <v>0</v>
      </c>
      <c r="J27" s="9">
        <v>2.0731388649350931E-3</v>
      </c>
      <c r="K27" s="9">
        <v>2.0242080825696391E-4</v>
      </c>
      <c r="L27" s="9">
        <v>2.9937009427263611E-4</v>
      </c>
      <c r="M27" s="9">
        <v>8.0925341307877346E-4</v>
      </c>
      <c r="N27" s="9">
        <v>6.9676251086159995E-4</v>
      </c>
      <c r="O27" s="9">
        <v>5.3793287204814927E-4</v>
      </c>
      <c r="P27" s="9">
        <v>3.3677362055066501E-4</v>
      </c>
      <c r="Q27" s="9">
        <v>8.8424532245259119E-4</v>
      </c>
      <c r="R27" s="9">
        <v>4.3302384103292461E-4</v>
      </c>
      <c r="S27" s="9">
        <v>3.2872982425922911E-4</v>
      </c>
      <c r="T27" s="9">
        <v>3.6633293743371028E-4</v>
      </c>
      <c r="U27" s="9">
        <v>4.7077392619808271E-4</v>
      </c>
      <c r="V27" s="9">
        <v>3.4873697412372259E-4</v>
      </c>
      <c r="W27" s="9">
        <v>3.0925258397174318E-4</v>
      </c>
      <c r="X27" s="9">
        <v>2.0499641697104091E-4</v>
      </c>
      <c r="Y27" s="9">
        <v>1.2566441712388689E-3</v>
      </c>
      <c r="Z27" s="9">
        <v>2.1711104597175901E-2</v>
      </c>
      <c r="AA27" s="9">
        <v>3.4456731297876808E-3</v>
      </c>
      <c r="AB27" s="12">
        <v>2.568270411242041E-3</v>
      </c>
    </row>
    <row r="28" spans="1:29">
      <c r="A28" s="17">
        <v>24</v>
      </c>
      <c r="B28" s="125"/>
      <c r="C28" s="128"/>
      <c r="D28" s="20">
        <v>1.0208108784759551E-2</v>
      </c>
      <c r="E28" s="9">
        <v>4.2158240414675949E-3</v>
      </c>
      <c r="F28" s="9">
        <v>5.4739623713019664E-3</v>
      </c>
      <c r="G28" s="9">
        <v>3.2015688407412558E-3</v>
      </c>
      <c r="H28" s="9">
        <v>2.8375218547417869E-3</v>
      </c>
      <c r="I28" s="9">
        <v>0</v>
      </c>
      <c r="J28" s="9">
        <v>3.7740150915993799E-3</v>
      </c>
      <c r="K28" s="9">
        <v>1.2526283276512019E-3</v>
      </c>
      <c r="L28" s="9">
        <v>3.431271238912991E-3</v>
      </c>
      <c r="M28" s="9">
        <v>2.379388167427813E-3</v>
      </c>
      <c r="N28" s="9">
        <v>1.4069762012374151E-3</v>
      </c>
      <c r="O28" s="9">
        <v>1.4999527056563411E-2</v>
      </c>
      <c r="P28" s="9">
        <v>1.595183041958699E-2</v>
      </c>
      <c r="Q28" s="9">
        <v>2.9010208385224591E-2</v>
      </c>
      <c r="R28" s="9">
        <v>3.747673798196057E-3</v>
      </c>
      <c r="S28" s="9">
        <v>1.7567815282623491E-2</v>
      </c>
      <c r="T28" s="9">
        <v>3.4811933522660402E-3</v>
      </c>
      <c r="U28" s="9">
        <v>6.5371255212567773E-4</v>
      </c>
      <c r="V28" s="9">
        <v>8.8033648607272884E-4</v>
      </c>
      <c r="W28" s="9">
        <v>2.3194502879786911E-3</v>
      </c>
      <c r="X28" s="9">
        <v>3.8051803508505088E-3</v>
      </c>
      <c r="Y28" s="9">
        <v>3.7731039005323018E-3</v>
      </c>
      <c r="Z28" s="9">
        <v>3.9170567389686453E-3</v>
      </c>
      <c r="AA28" s="9">
        <v>4.6316261225656338E-2</v>
      </c>
      <c r="AB28" s="12">
        <v>7.2473286377713178E-2</v>
      </c>
    </row>
    <row r="29" spans="1:29" ht="15" thickBot="1">
      <c r="A29" s="18">
        <v>25</v>
      </c>
      <c r="B29" s="126"/>
      <c r="C29" s="129"/>
      <c r="D29" s="28">
        <v>3.6432059999285668E-4</v>
      </c>
      <c r="E29" s="14">
        <v>2.3575402106929631E-4</v>
      </c>
      <c r="F29" s="14">
        <v>4.976193979547239E-4</v>
      </c>
      <c r="G29" s="14">
        <v>3.1909637873511098E-4</v>
      </c>
      <c r="H29" s="14">
        <v>4.6580763162781179E-4</v>
      </c>
      <c r="I29" s="14">
        <v>0</v>
      </c>
      <c r="J29" s="14">
        <v>5.6281244758872367E-4</v>
      </c>
      <c r="K29" s="14">
        <v>3.58582726728274E-4</v>
      </c>
      <c r="L29" s="14">
        <v>7.5142131333864892E-4</v>
      </c>
      <c r="M29" s="14">
        <v>6.4544944623498492E-4</v>
      </c>
      <c r="N29" s="14">
        <v>1.7610711465763259E-4</v>
      </c>
      <c r="O29" s="14">
        <v>2.1567165035020499E-4</v>
      </c>
      <c r="P29" s="14">
        <v>4.726797045291247E-4</v>
      </c>
      <c r="Q29" s="14">
        <v>6.0856102487954979E-4</v>
      </c>
      <c r="R29" s="14">
        <v>2.8157830766378279E-4</v>
      </c>
      <c r="S29" s="14">
        <v>4.4962768271646358E-3</v>
      </c>
      <c r="T29" s="14">
        <v>5.6958205677985698E-4</v>
      </c>
      <c r="U29" s="14">
        <v>1.947781040818122E-4</v>
      </c>
      <c r="V29" s="14">
        <v>1.4593615614314639E-4</v>
      </c>
      <c r="W29" s="14">
        <v>1.363638527340174E-4</v>
      </c>
      <c r="X29" s="14">
        <v>3.6596595781180231E-4</v>
      </c>
      <c r="Y29" s="14">
        <v>2.005339507003083E-4</v>
      </c>
      <c r="Z29" s="14">
        <v>5.8566946999952176E-4</v>
      </c>
      <c r="AA29" s="14">
        <v>8.0550439330272384E-3</v>
      </c>
      <c r="AB29" s="15">
        <v>2.9072618221610089E-2</v>
      </c>
    </row>
    <row r="31" spans="1:29" ht="15" thickBot="1">
      <c r="A31" s="19" t="s">
        <v>70</v>
      </c>
    </row>
    <row r="32" spans="1:29" ht="15" thickBot="1">
      <c r="A32" s="19"/>
      <c r="C32" s="1" t="s">
        <v>0</v>
      </c>
      <c r="D32" s="3" t="s">
        <v>1</v>
      </c>
      <c r="E32" s="45">
        <v>1</v>
      </c>
      <c r="F32" s="46">
        <v>2</v>
      </c>
      <c r="G32" s="46">
        <v>3</v>
      </c>
      <c r="H32" s="46">
        <v>4</v>
      </c>
      <c r="I32" s="46">
        <v>5</v>
      </c>
      <c r="J32" s="46">
        <v>6</v>
      </c>
      <c r="K32" s="46">
        <v>7</v>
      </c>
      <c r="L32" s="46">
        <v>8</v>
      </c>
      <c r="M32" s="46">
        <v>9</v>
      </c>
      <c r="N32" s="46">
        <v>10</v>
      </c>
      <c r="O32" s="46">
        <v>11</v>
      </c>
      <c r="P32" s="46">
        <v>12</v>
      </c>
      <c r="Q32" s="46">
        <v>13</v>
      </c>
      <c r="R32" s="46">
        <v>14</v>
      </c>
      <c r="S32" s="46">
        <v>15</v>
      </c>
      <c r="T32" s="46">
        <v>16</v>
      </c>
      <c r="U32" s="46">
        <v>17</v>
      </c>
      <c r="V32" s="46">
        <v>18</v>
      </c>
      <c r="W32" s="46">
        <v>19</v>
      </c>
      <c r="X32" s="46">
        <v>20</v>
      </c>
      <c r="Y32" s="46">
        <v>21</v>
      </c>
      <c r="Z32" s="46">
        <v>22</v>
      </c>
      <c r="AA32" s="46">
        <v>23</v>
      </c>
      <c r="AB32" s="46">
        <v>24</v>
      </c>
      <c r="AC32" s="47">
        <v>25</v>
      </c>
    </row>
    <row r="33" spans="1:29">
      <c r="A33" s="133" t="s">
        <v>59</v>
      </c>
      <c r="B33" s="29" t="s">
        <v>57</v>
      </c>
      <c r="C33" s="124" t="s">
        <v>209</v>
      </c>
      <c r="D33" s="127" t="s">
        <v>137</v>
      </c>
      <c r="E33" s="4">
        <v>0.17774772641109704</v>
      </c>
      <c r="F33" s="5">
        <v>6.4605761360396557E-2</v>
      </c>
      <c r="G33" s="5">
        <v>2.5136741094539304E-2</v>
      </c>
      <c r="H33" s="5">
        <v>7.6560708270097776E-5</v>
      </c>
      <c r="I33" s="5">
        <v>6.515681907990672E-3</v>
      </c>
      <c r="J33" s="5">
        <v>0</v>
      </c>
      <c r="K33" s="5">
        <v>0.40953070846380774</v>
      </c>
      <c r="L33" s="5">
        <v>9.8029840698299028E-5</v>
      </c>
      <c r="M33" s="5">
        <v>3.9418755019942249E-2</v>
      </c>
      <c r="N33" s="5">
        <v>5.8192466402877597E-5</v>
      </c>
      <c r="O33" s="5">
        <v>0.10289936305450566</v>
      </c>
      <c r="P33" s="5">
        <v>7.2663724921412385E-3</v>
      </c>
      <c r="Q33" s="5">
        <v>6.9139168286308744E-4</v>
      </c>
      <c r="R33" s="5">
        <v>1.750056963862996E-3</v>
      </c>
      <c r="S33" s="5">
        <v>7.9815526619115632E-5</v>
      </c>
      <c r="T33" s="5">
        <v>2.4019326375507998E-5</v>
      </c>
      <c r="U33" s="5">
        <v>4.1587089279637803E-7</v>
      </c>
      <c r="V33" s="5">
        <v>0</v>
      </c>
      <c r="W33" s="5">
        <v>2.8650648565529311E-7</v>
      </c>
      <c r="X33" s="5">
        <v>6.1939737623629404E-5</v>
      </c>
      <c r="Y33" s="5">
        <v>4.193423415294973E-2</v>
      </c>
      <c r="Z33" s="5">
        <v>3.444223567243497E-2</v>
      </c>
      <c r="AA33" s="5">
        <v>5.7118583682580389E-2</v>
      </c>
      <c r="AB33" s="5">
        <v>7.6209555201919221E-3</v>
      </c>
      <c r="AC33" s="10">
        <v>5.6074702376888877E-4</v>
      </c>
    </row>
    <row r="34" spans="1:29" ht="15" thickBot="1">
      <c r="A34" s="134"/>
      <c r="B34" s="30" t="s">
        <v>58</v>
      </c>
      <c r="C34" s="125"/>
      <c r="D34" s="128"/>
      <c r="E34" s="48">
        <v>1355.8</v>
      </c>
      <c r="F34" s="49">
        <v>1355.8</v>
      </c>
      <c r="G34" s="49">
        <v>1355.8</v>
      </c>
      <c r="H34" s="49">
        <v>1355.8</v>
      </c>
      <c r="I34" s="49">
        <v>1355.8</v>
      </c>
      <c r="J34" s="49">
        <v>1355.8</v>
      </c>
      <c r="K34" s="49">
        <v>1355.8</v>
      </c>
      <c r="L34" s="49">
        <v>1355.8</v>
      </c>
      <c r="M34" s="49">
        <v>1355.8</v>
      </c>
      <c r="N34" s="49">
        <v>1355.8</v>
      </c>
      <c r="O34" s="49">
        <v>1355.8</v>
      </c>
      <c r="P34" s="49">
        <v>1355.8</v>
      </c>
      <c r="Q34" s="49">
        <v>1355.8</v>
      </c>
      <c r="R34" s="49">
        <v>1355.8</v>
      </c>
      <c r="S34" s="49">
        <v>1355.8</v>
      </c>
      <c r="T34" s="49">
        <v>1355.8</v>
      </c>
      <c r="U34" s="49">
        <v>1355.8</v>
      </c>
      <c r="V34" s="49">
        <v>1355.8</v>
      </c>
      <c r="W34" s="49">
        <v>1355.8</v>
      </c>
      <c r="X34" s="49">
        <v>1355.8</v>
      </c>
      <c r="Y34" s="49">
        <v>1355.8</v>
      </c>
      <c r="Z34" s="49">
        <v>1355.8</v>
      </c>
      <c r="AA34" s="49">
        <v>1355.8</v>
      </c>
      <c r="AB34" s="49">
        <v>1355.8</v>
      </c>
      <c r="AC34" s="50">
        <v>1355.8</v>
      </c>
    </row>
    <row r="35" spans="1:29">
      <c r="A35" s="133" t="s">
        <v>60</v>
      </c>
      <c r="B35" s="29" t="s">
        <v>57</v>
      </c>
      <c r="C35" s="125"/>
      <c r="D35" s="128"/>
      <c r="E35" s="4">
        <v>0.10801667304693137</v>
      </c>
      <c r="F35" s="5">
        <v>4.6618601832991435E-2</v>
      </c>
      <c r="G35" s="5">
        <v>2.1944853410101228E-2</v>
      </c>
      <c r="H35" s="5">
        <v>1.0235987440941839E-4</v>
      </c>
      <c r="I35" s="5">
        <v>2.8718391574115002E-3</v>
      </c>
      <c r="J35" s="5">
        <v>0</v>
      </c>
      <c r="K35" s="5">
        <v>0.50164581792750151</v>
      </c>
      <c r="L35" s="5">
        <v>2.1655052674602861E-4</v>
      </c>
      <c r="M35" s="5">
        <v>2.0569612313863551E-2</v>
      </c>
      <c r="N35" s="5">
        <v>2.4101083116507985E-4</v>
      </c>
      <c r="O35" s="5">
        <v>7.0927072446155023E-2</v>
      </c>
      <c r="P35" s="5">
        <v>3.4454297819611047E-3</v>
      </c>
      <c r="Q35" s="5">
        <v>3.0797471910631711E-4</v>
      </c>
      <c r="R35" s="5">
        <v>8.2171344459686525E-4</v>
      </c>
      <c r="S35" s="5">
        <v>1.8854948489596942E-6</v>
      </c>
      <c r="T35" s="5">
        <v>2.1175102130293426E-5</v>
      </c>
      <c r="U35" s="5">
        <v>3.5448661428618474E-7</v>
      </c>
      <c r="V35" s="5">
        <v>1.0018850561158976E-9</v>
      </c>
      <c r="W35" s="5">
        <v>1.0999895940221141E-7</v>
      </c>
      <c r="X35" s="5">
        <v>1.3928402672518994E-5</v>
      </c>
      <c r="Y35" s="5">
        <v>3.6525844128900781E-2</v>
      </c>
      <c r="Z35" s="5">
        <v>7.2752249795376131E-2</v>
      </c>
      <c r="AA35" s="5">
        <v>9.5490623001686176E-2</v>
      </c>
      <c r="AB35" s="5">
        <v>9.8483765564642521E-3</v>
      </c>
      <c r="AC35" s="10">
        <v>3.3536267873804826E-4</v>
      </c>
    </row>
    <row r="36" spans="1:29" ht="15" thickBot="1">
      <c r="A36" s="134"/>
      <c r="B36" s="30" t="s">
        <v>58</v>
      </c>
      <c r="C36" s="125"/>
      <c r="D36" s="128"/>
      <c r="E36" s="48">
        <v>3838.509</v>
      </c>
      <c r="F36" s="49">
        <v>3838.509</v>
      </c>
      <c r="G36" s="49">
        <v>3838.509</v>
      </c>
      <c r="H36" s="49">
        <v>3838.509</v>
      </c>
      <c r="I36" s="49">
        <v>3838.509</v>
      </c>
      <c r="J36" s="49">
        <v>3838.509</v>
      </c>
      <c r="K36" s="49">
        <v>3838.509</v>
      </c>
      <c r="L36" s="49">
        <v>3838.509</v>
      </c>
      <c r="M36" s="49">
        <v>3838.509</v>
      </c>
      <c r="N36" s="49">
        <v>3838.509</v>
      </c>
      <c r="O36" s="49">
        <v>3838.509</v>
      </c>
      <c r="P36" s="49">
        <v>3838.509</v>
      </c>
      <c r="Q36" s="49">
        <v>3838.509</v>
      </c>
      <c r="R36" s="49">
        <v>3838.509</v>
      </c>
      <c r="S36" s="49">
        <v>3838.509</v>
      </c>
      <c r="T36" s="49">
        <v>3838.509</v>
      </c>
      <c r="U36" s="49">
        <v>3838.509</v>
      </c>
      <c r="V36" s="49">
        <v>3838.509</v>
      </c>
      <c r="W36" s="49">
        <v>3838.509</v>
      </c>
      <c r="X36" s="49">
        <v>3838.509</v>
      </c>
      <c r="Y36" s="49">
        <v>3838.509</v>
      </c>
      <c r="Z36" s="49">
        <v>3838.509</v>
      </c>
      <c r="AA36" s="49">
        <v>3838.509</v>
      </c>
      <c r="AB36" s="49">
        <v>3838.509</v>
      </c>
      <c r="AC36" s="50">
        <v>3838.509</v>
      </c>
    </row>
    <row r="37" spans="1:29">
      <c r="A37" s="133" t="s">
        <v>61</v>
      </c>
      <c r="B37" s="29" t="s">
        <v>57</v>
      </c>
      <c r="C37" s="125"/>
      <c r="D37" s="128"/>
      <c r="E37" s="4">
        <v>6.6560140479739821E-2</v>
      </c>
      <c r="F37" s="5">
        <v>2.6405408758429467E-2</v>
      </c>
      <c r="G37" s="5">
        <v>1.9387583135717871E-2</v>
      </c>
      <c r="H37" s="5">
        <v>3.8522476419557832E-5</v>
      </c>
      <c r="I37" s="5">
        <v>3.1946077971134507E-3</v>
      </c>
      <c r="J37" s="5">
        <v>0</v>
      </c>
      <c r="K37" s="5">
        <v>0.60669729535211425</v>
      </c>
      <c r="L37" s="5">
        <v>2.5335465579882859E-7</v>
      </c>
      <c r="M37" s="5">
        <v>1.923208910646344E-2</v>
      </c>
      <c r="N37" s="5">
        <v>1.1300959684090733E-4</v>
      </c>
      <c r="O37" s="5">
        <v>5.6388489419182598E-2</v>
      </c>
      <c r="P37" s="5">
        <v>5.7425540226648608E-3</v>
      </c>
      <c r="Q37" s="5">
        <v>2.0528879884818521E-3</v>
      </c>
      <c r="R37" s="5">
        <v>6.9055137272484564E-4</v>
      </c>
      <c r="S37" s="5">
        <v>1.4244004481566859E-4</v>
      </c>
      <c r="T37" s="5">
        <v>1.8420460143254359E-4</v>
      </c>
      <c r="U37" s="5">
        <v>2.3471179801111281E-6</v>
      </c>
      <c r="V37" s="5">
        <v>8.7853395491569817E-7</v>
      </c>
      <c r="W37" s="5">
        <v>9.9420599634490979E-7</v>
      </c>
      <c r="X37" s="5">
        <v>2.4872338633479288E-5</v>
      </c>
      <c r="Y37" s="5">
        <v>4.3379389610273655E-2</v>
      </c>
      <c r="Z37" s="5">
        <v>3.1541289876874913E-2</v>
      </c>
      <c r="AA37" s="5">
        <v>0.1231218168236005</v>
      </c>
      <c r="AB37" s="5">
        <v>4.0461839211893124E-3</v>
      </c>
      <c r="AC37" s="10">
        <v>9.7129150040349088E-4</v>
      </c>
    </row>
    <row r="38" spans="1:29" ht="15" thickBot="1">
      <c r="A38" s="134"/>
      <c r="B38" s="30" t="s">
        <v>58</v>
      </c>
      <c r="C38" s="126"/>
      <c r="D38" s="129"/>
      <c r="E38" s="13">
        <v>24672.571</v>
      </c>
      <c r="F38" s="14">
        <v>24672.571</v>
      </c>
      <c r="G38" s="14">
        <v>24672.571</v>
      </c>
      <c r="H38" s="14">
        <v>24672.571</v>
      </c>
      <c r="I38" s="14">
        <v>24672.571</v>
      </c>
      <c r="J38" s="14">
        <v>24672.571</v>
      </c>
      <c r="K38" s="14">
        <v>24672.571</v>
      </c>
      <c r="L38" s="14">
        <v>24672.571</v>
      </c>
      <c r="M38" s="14">
        <v>24672.571</v>
      </c>
      <c r="N38" s="14">
        <v>24672.571</v>
      </c>
      <c r="O38" s="14">
        <v>24672.571</v>
      </c>
      <c r="P38" s="14">
        <v>24672.571</v>
      </c>
      <c r="Q38" s="14">
        <v>24672.571</v>
      </c>
      <c r="R38" s="14">
        <v>24672.571</v>
      </c>
      <c r="S38" s="14">
        <v>24672.571</v>
      </c>
      <c r="T38" s="14">
        <v>24672.571</v>
      </c>
      <c r="U38" s="14">
        <v>24672.571</v>
      </c>
      <c r="V38" s="14">
        <v>24672.571</v>
      </c>
      <c r="W38" s="14">
        <v>24672.571</v>
      </c>
      <c r="X38" s="14">
        <v>24672.571</v>
      </c>
      <c r="Y38" s="14">
        <v>24672.571</v>
      </c>
      <c r="Z38" s="14">
        <v>24672.571</v>
      </c>
      <c r="AA38" s="14">
        <v>24672.571</v>
      </c>
      <c r="AB38" s="14">
        <v>24672.571</v>
      </c>
      <c r="AC38" s="15">
        <v>24672.571</v>
      </c>
    </row>
    <row r="40" spans="1:29" ht="15" thickBot="1">
      <c r="A40" s="19" t="s">
        <v>69</v>
      </c>
    </row>
    <row r="41" spans="1:29" ht="15" thickBot="1">
      <c r="C41" s="1" t="s">
        <v>0</v>
      </c>
      <c r="D41" s="2" t="s">
        <v>1</v>
      </c>
      <c r="E41" s="1" t="s">
        <v>65</v>
      </c>
      <c r="F41" s="2" t="s">
        <v>66</v>
      </c>
      <c r="G41" s="2" t="s">
        <v>67</v>
      </c>
      <c r="H41" s="3" t="s">
        <v>68</v>
      </c>
    </row>
    <row r="42" spans="1:29">
      <c r="A42" s="130" t="s">
        <v>58</v>
      </c>
      <c r="B42" s="29" t="s">
        <v>62</v>
      </c>
      <c r="C42" s="118" t="s">
        <v>210</v>
      </c>
      <c r="D42" s="121" t="s">
        <v>212</v>
      </c>
      <c r="E42" s="4">
        <v>41722.197183818309</v>
      </c>
      <c r="F42" s="5">
        <v>20358.860979541736</v>
      </c>
      <c r="G42" s="5">
        <v>10197.272479151634</v>
      </c>
      <c r="H42" s="10">
        <v>729</v>
      </c>
    </row>
    <row r="43" spans="1:29">
      <c r="A43" s="131"/>
      <c r="B43" s="31" t="s">
        <v>64</v>
      </c>
      <c r="C43" s="119"/>
      <c r="D43" s="122"/>
      <c r="E43" s="11">
        <v>9425.015171514071</v>
      </c>
      <c r="F43" s="9">
        <v>3158.9145050389807</v>
      </c>
      <c r="G43" s="9">
        <v>1273.3978165952694</v>
      </c>
      <c r="H43" s="12">
        <v>729</v>
      </c>
    </row>
    <row r="44" spans="1:29" ht="15" thickBot="1">
      <c r="A44" s="132"/>
      <c r="B44" s="30" t="s">
        <v>63</v>
      </c>
      <c r="C44" s="120"/>
      <c r="D44" s="123"/>
      <c r="E44" s="13">
        <v>4615.9243319509169</v>
      </c>
      <c r="F44" s="14">
        <v>1685.6286477296694</v>
      </c>
      <c r="G44" s="14">
        <v>899.89728356910837</v>
      </c>
      <c r="H44" s="15">
        <v>729</v>
      </c>
    </row>
    <row r="46" spans="1:29" ht="15" thickBot="1">
      <c r="A46" s="19" t="s">
        <v>190</v>
      </c>
    </row>
    <row r="47" spans="1:29" ht="15" thickBot="1">
      <c r="B47" s="1" t="s">
        <v>0</v>
      </c>
      <c r="C47" s="3" t="s">
        <v>1</v>
      </c>
      <c r="D47" s="1" t="s">
        <v>191</v>
      </c>
      <c r="E47" s="2" t="s">
        <v>64</v>
      </c>
      <c r="F47" s="3" t="s">
        <v>63</v>
      </c>
    </row>
    <row r="48" spans="1:29" ht="29.4" thickBot="1">
      <c r="A48" s="26" t="s">
        <v>414</v>
      </c>
      <c r="B48" s="52" t="s">
        <v>211</v>
      </c>
      <c r="C48" s="34" t="s">
        <v>137</v>
      </c>
      <c r="D48" s="35">
        <v>0.29482684053709995</v>
      </c>
      <c r="E48" s="36">
        <v>0.35086762937431448</v>
      </c>
      <c r="F48" s="37">
        <v>0.20979436962937525</v>
      </c>
    </row>
    <row r="50" spans="1:28" ht="15" thickBot="1">
      <c r="A50" s="19" t="s">
        <v>471</v>
      </c>
    </row>
    <row r="51" spans="1:28" ht="15" thickBot="1">
      <c r="B51" s="1" t="s">
        <v>0</v>
      </c>
      <c r="C51" s="3" t="s">
        <v>1</v>
      </c>
      <c r="D51" s="45">
        <v>1</v>
      </c>
      <c r="E51" s="46">
        <v>2</v>
      </c>
      <c r="F51" s="46">
        <v>3</v>
      </c>
      <c r="G51" s="46">
        <v>4</v>
      </c>
      <c r="H51" s="46">
        <v>5</v>
      </c>
      <c r="I51" s="46">
        <v>6</v>
      </c>
      <c r="J51" s="46">
        <v>7</v>
      </c>
      <c r="K51" s="46">
        <v>8</v>
      </c>
      <c r="L51" s="46">
        <v>9</v>
      </c>
      <c r="M51" s="46">
        <v>10</v>
      </c>
      <c r="N51" s="46">
        <v>11</v>
      </c>
      <c r="O51" s="46">
        <v>12</v>
      </c>
      <c r="P51" s="46">
        <v>13</v>
      </c>
      <c r="Q51" s="46">
        <v>14</v>
      </c>
      <c r="R51" s="46">
        <v>15</v>
      </c>
      <c r="S51" s="46">
        <v>16</v>
      </c>
      <c r="T51" s="46">
        <v>17</v>
      </c>
      <c r="U51" s="46">
        <v>18</v>
      </c>
      <c r="V51" s="46">
        <v>19</v>
      </c>
      <c r="W51" s="46">
        <v>20</v>
      </c>
      <c r="X51" s="46">
        <v>21</v>
      </c>
      <c r="Y51" s="46">
        <v>22</v>
      </c>
      <c r="Z51" s="46">
        <v>23</v>
      </c>
      <c r="AA51" s="46">
        <v>24</v>
      </c>
      <c r="AB51" s="47">
        <v>25</v>
      </c>
    </row>
    <row r="52" spans="1:28" ht="29.4" thickBot="1">
      <c r="A52" s="26" t="s">
        <v>414</v>
      </c>
      <c r="B52" s="98" t="s">
        <v>410</v>
      </c>
      <c r="C52" s="34" t="s">
        <v>137</v>
      </c>
      <c r="D52" s="35">
        <v>4.3879665989159898E-3</v>
      </c>
      <c r="E52" s="36">
        <v>8.2385779131770678E-4</v>
      </c>
      <c r="F52" s="36">
        <v>5.7005342116020822E-4</v>
      </c>
      <c r="G52" s="36">
        <v>7.5134654712863652E-5</v>
      </c>
      <c r="H52" s="36">
        <v>1.1329641417558552E-2</v>
      </c>
      <c r="I52" s="36">
        <v>0</v>
      </c>
      <c r="J52" s="36">
        <v>0.64120252476339601</v>
      </c>
      <c r="K52" s="36">
        <v>1.1291808755216165E-8</v>
      </c>
      <c r="L52" s="36">
        <v>3.2386712581228719E-3</v>
      </c>
      <c r="M52" s="36">
        <v>6.8995992706133527E-6</v>
      </c>
      <c r="N52" s="36">
        <v>2.036592225679288E-3</v>
      </c>
      <c r="O52" s="36">
        <v>1.0039373962862416E-3</v>
      </c>
      <c r="P52" s="36">
        <v>1.4478482014102184E-4</v>
      </c>
      <c r="Q52" s="36">
        <v>2.1188999265732566E-4</v>
      </c>
      <c r="R52" s="36">
        <v>1.1226768859118198E-5</v>
      </c>
      <c r="S52" s="36">
        <v>5.260912236879159E-6</v>
      </c>
      <c r="T52" s="36">
        <v>2.2698140712289914E-7</v>
      </c>
      <c r="U52" s="36">
        <v>0</v>
      </c>
      <c r="V52" s="36">
        <v>1.0678626375362471E-8</v>
      </c>
      <c r="W52" s="36">
        <v>1.4118255749478777E-7</v>
      </c>
      <c r="X52" s="36">
        <v>8.5120158589863121E-3</v>
      </c>
      <c r="Y52" s="36">
        <v>0.13570964704441221</v>
      </c>
      <c r="Z52" s="36">
        <v>0.18157278870888494</v>
      </c>
      <c r="AA52" s="36">
        <v>8.5757544858296158E-3</v>
      </c>
      <c r="AB52" s="37">
        <v>5.8096214717281232E-4</v>
      </c>
    </row>
    <row r="54" spans="1:28" ht="15" thickBot="1">
      <c r="A54" s="19" t="s">
        <v>472</v>
      </c>
    </row>
    <row r="55" spans="1:28" ht="15" thickBot="1">
      <c r="B55" s="1" t="s">
        <v>0</v>
      </c>
      <c r="C55" s="3" t="s">
        <v>1</v>
      </c>
      <c r="D55" s="45">
        <v>1</v>
      </c>
      <c r="E55" s="46">
        <v>2</v>
      </c>
      <c r="F55" s="46">
        <v>3</v>
      </c>
      <c r="G55" s="46">
        <v>4</v>
      </c>
      <c r="H55" s="46">
        <v>5</v>
      </c>
      <c r="I55" s="46">
        <v>6</v>
      </c>
      <c r="J55" s="46">
        <v>7</v>
      </c>
      <c r="K55" s="46">
        <v>8</v>
      </c>
      <c r="L55" s="46">
        <v>9</v>
      </c>
      <c r="M55" s="46">
        <v>10</v>
      </c>
      <c r="N55" s="46">
        <v>11</v>
      </c>
      <c r="O55" s="46">
        <v>12</v>
      </c>
      <c r="P55" s="46">
        <v>13</v>
      </c>
      <c r="Q55" s="46">
        <v>14</v>
      </c>
      <c r="R55" s="46">
        <v>15</v>
      </c>
      <c r="S55" s="46">
        <v>16</v>
      </c>
      <c r="T55" s="46">
        <v>17</v>
      </c>
      <c r="U55" s="46">
        <v>18</v>
      </c>
      <c r="V55" s="46">
        <v>19</v>
      </c>
      <c r="W55" s="46">
        <v>20</v>
      </c>
      <c r="X55" s="46">
        <v>21</v>
      </c>
      <c r="Y55" s="46">
        <v>22</v>
      </c>
      <c r="Z55" s="46">
        <v>23</v>
      </c>
      <c r="AA55" s="46">
        <v>24</v>
      </c>
      <c r="AB55" s="47">
        <v>25</v>
      </c>
    </row>
    <row r="56" spans="1:28" ht="31.8" customHeight="1" thickBot="1">
      <c r="A56" s="26" t="s">
        <v>414</v>
      </c>
      <c r="B56" s="98" t="s">
        <v>411</v>
      </c>
      <c r="C56" s="34" t="s">
        <v>137</v>
      </c>
      <c r="D56" s="35">
        <v>1.3354846416122045E-2</v>
      </c>
      <c r="E56" s="36">
        <v>4.4556010731934999E-3</v>
      </c>
      <c r="F56" s="36">
        <v>1.3984899693868923E-2</v>
      </c>
      <c r="G56" s="36">
        <v>2.890679992616196E-3</v>
      </c>
      <c r="H56" s="36">
        <v>0.47364458186086777</v>
      </c>
      <c r="I56" s="36">
        <v>0</v>
      </c>
      <c r="J56" s="36">
        <v>0.16394472789808701</v>
      </c>
      <c r="K56" s="36">
        <v>2.3888648843460123E-4</v>
      </c>
      <c r="L56" s="36">
        <v>3.8521730045060452E-3</v>
      </c>
      <c r="M56" s="36">
        <v>7.4040779780666134E-5</v>
      </c>
      <c r="N56" s="36">
        <v>0.31646782888735797</v>
      </c>
      <c r="O56" s="36">
        <v>6.5818485282423074E-6</v>
      </c>
      <c r="P56" s="36">
        <v>2.2222293915034464E-6</v>
      </c>
      <c r="Q56" s="36">
        <v>9.6158118685112176E-7</v>
      </c>
      <c r="R56" s="36">
        <v>1.0874616565729867E-6</v>
      </c>
      <c r="S56" s="36">
        <v>1.1357186103588806E-6</v>
      </c>
      <c r="T56" s="36">
        <v>3.2749589898499056E-7</v>
      </c>
      <c r="U56" s="36">
        <v>0</v>
      </c>
      <c r="V56" s="36">
        <v>2.1811663595441751E-12</v>
      </c>
      <c r="W56" s="36">
        <v>1.7119137955114244E-10</v>
      </c>
      <c r="X56" s="36">
        <v>6.5721277524178898E-3</v>
      </c>
      <c r="Y56" s="36">
        <v>1.7889828708902072E-4</v>
      </c>
      <c r="Z56" s="36">
        <v>2.7697352531311768E-4</v>
      </c>
      <c r="AA56" s="36">
        <v>3.5430996781509578E-5</v>
      </c>
      <c r="AB56" s="37">
        <v>1.5986834918614808E-5</v>
      </c>
    </row>
    <row r="58" spans="1:28" ht="15" thickBot="1">
      <c r="A58" s="19" t="s">
        <v>71</v>
      </c>
    </row>
    <row r="59" spans="1:28" ht="15" thickBot="1">
      <c r="B59" s="1" t="s">
        <v>0</v>
      </c>
      <c r="C59" s="3" t="s">
        <v>1</v>
      </c>
      <c r="D59" s="45">
        <v>1</v>
      </c>
      <c r="E59" s="46">
        <v>2</v>
      </c>
      <c r="F59" s="46">
        <v>3</v>
      </c>
      <c r="G59" s="46">
        <v>4</v>
      </c>
      <c r="H59" s="46">
        <v>5</v>
      </c>
      <c r="I59" s="46">
        <v>6</v>
      </c>
      <c r="J59" s="46">
        <v>7</v>
      </c>
      <c r="K59" s="46">
        <v>8</v>
      </c>
      <c r="L59" s="46">
        <v>9</v>
      </c>
      <c r="M59" s="46">
        <v>10</v>
      </c>
      <c r="N59" s="46">
        <v>11</v>
      </c>
      <c r="O59" s="46">
        <v>12</v>
      </c>
      <c r="P59" s="46">
        <v>13</v>
      </c>
      <c r="Q59" s="46">
        <v>14</v>
      </c>
      <c r="R59" s="46">
        <v>15</v>
      </c>
      <c r="S59" s="46">
        <v>16</v>
      </c>
      <c r="T59" s="46">
        <v>17</v>
      </c>
      <c r="U59" s="46">
        <v>18</v>
      </c>
      <c r="V59" s="46">
        <v>19</v>
      </c>
      <c r="W59" s="46">
        <v>20</v>
      </c>
      <c r="X59" s="46">
        <v>21</v>
      </c>
      <c r="Y59" s="46">
        <v>22</v>
      </c>
      <c r="Z59" s="46">
        <v>23</v>
      </c>
      <c r="AA59" s="46">
        <v>24</v>
      </c>
      <c r="AB59" s="47">
        <v>25</v>
      </c>
    </row>
    <row r="60" spans="1:28" ht="15" thickBot="1">
      <c r="A60" s="76" t="s">
        <v>412</v>
      </c>
      <c r="B60" s="98" t="s">
        <v>413</v>
      </c>
      <c r="C60" s="34" t="s">
        <v>200</v>
      </c>
      <c r="D60" s="35">
        <v>10391940.485705661</v>
      </c>
      <c r="E60" s="36">
        <v>4627851.7004338298</v>
      </c>
      <c r="F60" s="36">
        <v>4902357.8153394423</v>
      </c>
      <c r="G60" s="36">
        <v>898664.60247264965</v>
      </c>
      <c r="H60" s="36">
        <v>18586225.859953921</v>
      </c>
      <c r="I60" s="36">
        <v>0</v>
      </c>
      <c r="J60" s="36">
        <v>68648884.384870082</v>
      </c>
      <c r="K60" s="36">
        <v>373719.76314673742</v>
      </c>
      <c r="L60" s="36">
        <v>6249258.6959929056</v>
      </c>
      <c r="M60" s="36">
        <v>26744.438680765001</v>
      </c>
      <c r="N60" s="36">
        <v>22315739.755196512</v>
      </c>
      <c r="O60" s="36">
        <v>975490.67347856739</v>
      </c>
      <c r="P60" s="36">
        <v>192948.23248018211</v>
      </c>
      <c r="Q60" s="36">
        <v>185336.12021725989</v>
      </c>
      <c r="R60" s="36">
        <v>17530.922144347609</v>
      </c>
      <c r="S60" s="36">
        <v>21179.586321891122</v>
      </c>
      <c r="T60" s="36">
        <v>1832.2011806076539</v>
      </c>
      <c r="U60" s="36">
        <v>67.246871694709</v>
      </c>
      <c r="V60" s="36">
        <v>104.688969337391</v>
      </c>
      <c r="W60" s="36">
        <v>4482.8930931719333</v>
      </c>
      <c r="X60" s="36">
        <v>5571115.3581775818</v>
      </c>
      <c r="Y60" s="36">
        <v>3986333.83447586</v>
      </c>
      <c r="Z60" s="36">
        <v>7283823.3412830103</v>
      </c>
      <c r="AA60" s="36">
        <v>1061746.86624524</v>
      </c>
      <c r="AB60" s="37">
        <v>121638.29168499701</v>
      </c>
    </row>
    <row r="62" spans="1:28" ht="15" thickBot="1">
      <c r="A62" s="19" t="s">
        <v>442</v>
      </c>
    </row>
    <row r="63" spans="1:28" ht="15" thickBot="1">
      <c r="B63" s="1" t="s">
        <v>0</v>
      </c>
      <c r="C63" s="2" t="s">
        <v>1</v>
      </c>
      <c r="D63" s="109">
        <v>1</v>
      </c>
      <c r="E63" s="110">
        <v>2</v>
      </c>
      <c r="F63" s="110">
        <v>3</v>
      </c>
      <c r="G63" s="110">
        <v>4</v>
      </c>
      <c r="H63" s="110">
        <v>5</v>
      </c>
      <c r="I63" s="110">
        <v>6</v>
      </c>
      <c r="J63" s="110">
        <v>7</v>
      </c>
      <c r="K63" s="110">
        <v>8</v>
      </c>
      <c r="L63" s="110">
        <v>9</v>
      </c>
      <c r="M63" s="110">
        <v>10</v>
      </c>
      <c r="N63" s="110">
        <v>11</v>
      </c>
      <c r="O63" s="110">
        <v>12</v>
      </c>
      <c r="P63" s="110">
        <v>13</v>
      </c>
      <c r="Q63" s="110">
        <v>14</v>
      </c>
      <c r="R63" s="110">
        <v>15</v>
      </c>
      <c r="S63" s="110">
        <v>16</v>
      </c>
      <c r="T63" s="110">
        <v>17</v>
      </c>
      <c r="U63" s="110">
        <v>18</v>
      </c>
      <c r="V63" s="110">
        <v>19</v>
      </c>
      <c r="W63" s="110">
        <v>20</v>
      </c>
      <c r="X63" s="110">
        <v>21</v>
      </c>
      <c r="Y63" s="110">
        <v>22</v>
      </c>
      <c r="Z63" s="110">
        <v>23</v>
      </c>
      <c r="AA63" s="110">
        <v>24</v>
      </c>
      <c r="AB63" s="111">
        <v>25</v>
      </c>
    </row>
    <row r="64" spans="1:28" ht="29.4" thickBot="1">
      <c r="A64" s="76" t="s">
        <v>443</v>
      </c>
      <c r="B64" s="98" t="s">
        <v>448</v>
      </c>
      <c r="C64" s="34" t="s">
        <v>200</v>
      </c>
      <c r="D64" s="54">
        <v>410442.38958287629</v>
      </c>
      <c r="E64" s="55">
        <v>149006.79456475456</v>
      </c>
      <c r="F64" s="55">
        <v>304293.65181818302</v>
      </c>
      <c r="G64" s="55">
        <v>83421.039291101144</v>
      </c>
      <c r="H64" s="55">
        <v>890713.36998937884</v>
      </c>
      <c r="I64" s="55">
        <v>0</v>
      </c>
      <c r="J64" s="55">
        <v>7208898.3037916562</v>
      </c>
      <c r="K64" s="55">
        <v>11816.442868641143</v>
      </c>
      <c r="L64" s="55">
        <v>267215.33975290356</v>
      </c>
      <c r="M64" s="55">
        <v>1629.4249592013061</v>
      </c>
      <c r="N64" s="55">
        <v>894379.40870946576</v>
      </c>
      <c r="O64" s="55">
        <v>108908.23525392363</v>
      </c>
      <c r="P64" s="55">
        <v>56520.229540558401</v>
      </c>
      <c r="Q64" s="55">
        <v>73691.044680160165</v>
      </c>
      <c r="R64" s="55">
        <v>6891.1681585720353</v>
      </c>
      <c r="S64" s="55">
        <v>2422.7947139555849</v>
      </c>
      <c r="T64" s="55">
        <v>606.62134063350152</v>
      </c>
      <c r="U64" s="55">
        <v>11.634883288614899</v>
      </c>
      <c r="V64" s="55">
        <v>35.855056788975247</v>
      </c>
      <c r="W64" s="55">
        <v>1890.9300315748847</v>
      </c>
      <c r="X64" s="55">
        <v>485478.545291638</v>
      </c>
      <c r="Y64" s="55">
        <v>301599.67535694916</v>
      </c>
      <c r="Z64" s="55">
        <v>311466.10934705607</v>
      </c>
      <c r="AA64" s="55">
        <v>136185.42882592752</v>
      </c>
      <c r="AB64" s="56">
        <v>14480.29082642598</v>
      </c>
    </row>
    <row r="66" spans="1:28" ht="15" thickBot="1">
      <c r="A66" s="19" t="s">
        <v>510</v>
      </c>
    </row>
    <row r="67" spans="1:28" ht="15" thickBot="1">
      <c r="B67" s="1" t="s">
        <v>0</v>
      </c>
      <c r="C67" s="2" t="s">
        <v>1</v>
      </c>
      <c r="D67" s="109">
        <v>1</v>
      </c>
      <c r="E67" s="110">
        <v>2</v>
      </c>
      <c r="F67" s="110">
        <v>3</v>
      </c>
      <c r="G67" s="110">
        <v>4</v>
      </c>
      <c r="H67" s="110">
        <v>5</v>
      </c>
      <c r="I67" s="110">
        <v>6</v>
      </c>
      <c r="J67" s="110">
        <v>7</v>
      </c>
      <c r="K67" s="110">
        <v>8</v>
      </c>
      <c r="L67" s="110">
        <v>9</v>
      </c>
      <c r="M67" s="110">
        <v>10</v>
      </c>
      <c r="N67" s="110">
        <v>11</v>
      </c>
      <c r="O67" s="110">
        <v>12</v>
      </c>
      <c r="P67" s="110">
        <v>13</v>
      </c>
      <c r="Q67" s="110">
        <v>14</v>
      </c>
      <c r="R67" s="110">
        <v>15</v>
      </c>
      <c r="S67" s="110">
        <v>16</v>
      </c>
      <c r="T67" s="110">
        <v>17</v>
      </c>
      <c r="U67" s="110">
        <v>18</v>
      </c>
      <c r="V67" s="110">
        <v>19</v>
      </c>
      <c r="W67" s="110">
        <v>20</v>
      </c>
      <c r="X67" s="110">
        <v>21</v>
      </c>
      <c r="Y67" s="110">
        <v>22</v>
      </c>
      <c r="Z67" s="110">
        <v>23</v>
      </c>
      <c r="AA67" s="110">
        <v>24</v>
      </c>
      <c r="AB67" s="111">
        <v>25</v>
      </c>
    </row>
    <row r="68" spans="1:28" ht="15" thickBot="1">
      <c r="A68" s="76" t="s">
        <v>517</v>
      </c>
      <c r="B68" s="98" t="s">
        <v>511</v>
      </c>
      <c r="C68" s="34" t="s">
        <v>200</v>
      </c>
      <c r="D68" s="54">
        <v>1.0902073768312754</v>
      </c>
      <c r="E68" s="55">
        <v>0.89401547546248428</v>
      </c>
      <c r="F68" s="55">
        <v>1.0853897198995075</v>
      </c>
      <c r="G68" s="55">
        <v>2.7297920846945862</v>
      </c>
      <c r="H68" s="55">
        <v>0.51314455712644835</v>
      </c>
      <c r="I68" s="55">
        <v>0</v>
      </c>
      <c r="J68" s="55">
        <v>2.6104360041741588</v>
      </c>
      <c r="K68" s="55">
        <v>1.0853897198995075</v>
      </c>
      <c r="L68" s="55">
        <v>2.0557671821232426</v>
      </c>
      <c r="M68" s="55">
        <v>2.6104360041741588</v>
      </c>
      <c r="N68" s="55">
        <v>0.8656998199444943</v>
      </c>
      <c r="O68" s="55">
        <v>2.6104360041741588</v>
      </c>
      <c r="P68" s="55">
        <v>2.6104360041741588</v>
      </c>
      <c r="Q68" s="55">
        <v>2.6104360041741588</v>
      </c>
      <c r="R68" s="55">
        <v>2.6104360041741588</v>
      </c>
      <c r="S68" s="55">
        <v>2.6104360041741588</v>
      </c>
      <c r="T68" s="55">
        <v>2.6104360041741588</v>
      </c>
      <c r="U68" s="55">
        <v>2.6104360041741588</v>
      </c>
      <c r="V68" s="55">
        <v>2.6104360041741588</v>
      </c>
      <c r="W68" s="55">
        <v>2.6104360041741588</v>
      </c>
      <c r="X68" s="55">
        <v>1.8757329704413637</v>
      </c>
      <c r="Y68" s="55">
        <v>1.2893546002848248</v>
      </c>
      <c r="Z68" s="55">
        <v>1.7283232273846747</v>
      </c>
      <c r="AA68" s="55">
        <v>2.6104360041741588</v>
      </c>
      <c r="AB68" s="56">
        <v>2.6104360041741588</v>
      </c>
    </row>
    <row r="70" spans="1:28" ht="15" thickBot="1">
      <c r="A70" s="19" t="s">
        <v>513</v>
      </c>
    </row>
    <row r="71" spans="1:28" ht="15" thickBot="1">
      <c r="B71" s="1" t="s">
        <v>0</v>
      </c>
      <c r="C71" s="2" t="s">
        <v>1</v>
      </c>
      <c r="D71" s="45">
        <v>1</v>
      </c>
      <c r="E71" s="46">
        <v>2</v>
      </c>
      <c r="F71" s="46">
        <v>3</v>
      </c>
      <c r="G71" s="46">
        <v>4</v>
      </c>
      <c r="H71" s="46">
        <v>5</v>
      </c>
      <c r="I71" s="46">
        <v>6</v>
      </c>
      <c r="J71" s="46">
        <v>7</v>
      </c>
      <c r="K71" s="46">
        <v>8</v>
      </c>
      <c r="L71" s="46">
        <v>9</v>
      </c>
      <c r="M71" s="46">
        <v>10</v>
      </c>
      <c r="N71" s="46">
        <v>11</v>
      </c>
      <c r="O71" s="46">
        <v>12</v>
      </c>
      <c r="P71" s="46">
        <v>13</v>
      </c>
      <c r="Q71" s="46">
        <v>14</v>
      </c>
      <c r="R71" s="46">
        <v>15</v>
      </c>
      <c r="S71" s="46">
        <v>16</v>
      </c>
      <c r="T71" s="46">
        <v>17</v>
      </c>
      <c r="U71" s="46">
        <v>18</v>
      </c>
      <c r="V71" s="46">
        <v>19</v>
      </c>
      <c r="W71" s="46">
        <v>20</v>
      </c>
      <c r="X71" s="46">
        <v>21</v>
      </c>
      <c r="Y71" s="46">
        <v>22</v>
      </c>
      <c r="Z71" s="46">
        <v>23</v>
      </c>
      <c r="AA71" s="46">
        <v>24</v>
      </c>
      <c r="AB71" s="47">
        <v>25</v>
      </c>
    </row>
    <row r="72" spans="1:28" ht="15" thickBot="1">
      <c r="A72" s="76" t="s">
        <v>515</v>
      </c>
      <c r="B72" s="98" t="s">
        <v>514</v>
      </c>
      <c r="C72" s="117" t="s">
        <v>200</v>
      </c>
      <c r="D72" s="35">
        <v>7552913.4514052663</v>
      </c>
      <c r="E72" s="36">
        <v>2758247.358888811</v>
      </c>
      <c r="F72" s="36">
        <v>3547312.5173589592</v>
      </c>
      <c r="G72" s="36">
        <v>1635445.0124166971</v>
      </c>
      <c r="H72" s="36">
        <v>6358280.4250387978</v>
      </c>
      <c r="I72" s="36">
        <v>0</v>
      </c>
      <c r="J72" s="36">
        <v>119469012.96310271</v>
      </c>
      <c r="K72" s="36">
        <v>270421.05936183175</v>
      </c>
      <c r="L72" s="36">
        <v>8564680.6265470032</v>
      </c>
      <c r="M72" s="36">
        <v>46543.097095798003</v>
      </c>
      <c r="N72" s="36">
        <v>12879154.592001209</v>
      </c>
      <c r="O72" s="36">
        <v>1697637.3171897004</v>
      </c>
      <c r="P72" s="36">
        <v>335786.0086720222</v>
      </c>
      <c r="Q72" s="36">
        <v>322538.72072605696</v>
      </c>
      <c r="R72" s="36">
        <v>30508.900234652701</v>
      </c>
      <c r="S72" s="36">
        <v>36858.636458786088</v>
      </c>
      <c r="T72" s="36">
        <v>3188.562619165747</v>
      </c>
      <c r="U72" s="36">
        <v>117.02910335996567</v>
      </c>
      <c r="V72" s="36">
        <v>182.18923653214</v>
      </c>
      <c r="W72" s="36">
        <v>7801.5370221864514</v>
      </c>
      <c r="X72" s="36">
        <v>6966616.506310625</v>
      </c>
      <c r="Y72" s="36">
        <v>3426531.9118349976</v>
      </c>
      <c r="Z72" s="36">
        <v>8392534.0432707183</v>
      </c>
      <c r="AA72" s="36">
        <v>1847748.1646437729</v>
      </c>
      <c r="AB72" s="37">
        <v>211685.9840671696</v>
      </c>
    </row>
    <row r="74" spans="1:28" ht="15" thickBot="1">
      <c r="A74" s="116" t="s">
        <v>512</v>
      </c>
    </row>
    <row r="75" spans="1:28" ht="15" thickBot="1">
      <c r="B75" s="23" t="s">
        <v>0</v>
      </c>
      <c r="C75" s="22" t="s">
        <v>1</v>
      </c>
      <c r="D75" s="78" t="s">
        <v>136</v>
      </c>
    </row>
    <row r="76" spans="1:28" ht="29.4" thickBot="1">
      <c r="A76" s="76" t="s">
        <v>217</v>
      </c>
      <c r="B76" s="52" t="s">
        <v>516</v>
      </c>
      <c r="C76" s="117" t="s">
        <v>137</v>
      </c>
      <c r="D76" s="53">
        <v>0.1</v>
      </c>
    </row>
  </sheetData>
  <mergeCells count="10">
    <mergeCell ref="C5:C29"/>
    <mergeCell ref="B5:B29"/>
    <mergeCell ref="C33:C38"/>
    <mergeCell ref="A42:A44"/>
    <mergeCell ref="D33:D38"/>
    <mergeCell ref="A33:A34"/>
    <mergeCell ref="A35:A36"/>
    <mergeCell ref="A37:A38"/>
    <mergeCell ref="D42:D44"/>
    <mergeCell ref="C42:C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"/>
  <sheetViews>
    <sheetView zoomScaleNormal="100" workbookViewId="0"/>
  </sheetViews>
  <sheetFormatPr baseColWidth="10" defaultRowHeight="14.4"/>
  <cols>
    <col min="1" max="1" width="18" bestFit="1" customWidth="1"/>
    <col min="2" max="2" width="25" customWidth="1"/>
    <col min="3" max="3" width="10.33203125" bestFit="1" customWidth="1"/>
  </cols>
  <sheetData>
    <row r="1" spans="1:28" ht="25.8">
      <c r="A1" s="114" t="s">
        <v>504</v>
      </c>
    </row>
    <row r="3" spans="1:28" ht="15" thickBot="1">
      <c r="A3" s="19" t="s">
        <v>75</v>
      </c>
    </row>
    <row r="4" spans="1:28" ht="15" thickBot="1">
      <c r="B4" s="1" t="s">
        <v>0</v>
      </c>
      <c r="C4" s="3" t="s">
        <v>1</v>
      </c>
      <c r="D4" s="1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>
        <v>16</v>
      </c>
      <c r="T4" s="2">
        <v>17</v>
      </c>
      <c r="U4" s="2">
        <v>18</v>
      </c>
      <c r="V4" s="1">
        <v>19</v>
      </c>
      <c r="W4" s="2">
        <v>20</v>
      </c>
      <c r="X4" s="2">
        <v>21</v>
      </c>
      <c r="Y4" s="2">
        <v>22</v>
      </c>
      <c r="Z4" s="2">
        <v>23</v>
      </c>
      <c r="AA4" s="2">
        <v>24</v>
      </c>
      <c r="AB4" s="3">
        <v>25</v>
      </c>
    </row>
    <row r="5" spans="1:28" ht="29.4" thickBot="1">
      <c r="A5" s="76" t="s">
        <v>74</v>
      </c>
      <c r="B5" s="98" t="s">
        <v>449</v>
      </c>
      <c r="C5" s="34" t="s">
        <v>193</v>
      </c>
      <c r="D5" s="51">
        <v>0.23202524910481148</v>
      </c>
      <c r="E5" s="36">
        <v>5.4247848865100437E-2</v>
      </c>
      <c r="F5" s="36">
        <v>1.9138363977223051E-2</v>
      </c>
      <c r="G5" s="36">
        <v>0.26267748620997827</v>
      </c>
      <c r="H5" s="36">
        <v>4.1928307812757963E-2</v>
      </c>
      <c r="I5" s="36">
        <v>0</v>
      </c>
      <c r="J5" s="36">
        <v>3.7998727608752503E-2</v>
      </c>
      <c r="K5" s="36">
        <v>1.8282106476122429E-2</v>
      </c>
      <c r="L5" s="36">
        <v>2.3728202310751095E-2</v>
      </c>
      <c r="M5" s="36">
        <v>4.8182489316843935E-2</v>
      </c>
      <c r="N5" s="36">
        <v>3.0378040378073637E-2</v>
      </c>
      <c r="O5" s="36">
        <v>1.7250109555545779E-2</v>
      </c>
      <c r="P5" s="36">
        <v>1.3224704578169098E-2</v>
      </c>
      <c r="Q5" s="36">
        <v>1.2646371637227791E-2</v>
      </c>
      <c r="R5" s="36">
        <v>4.4707379981405643E-2</v>
      </c>
      <c r="S5" s="36">
        <v>4.0247961529611687E-2</v>
      </c>
      <c r="T5" s="36">
        <v>9.7899807320422555E-2</v>
      </c>
      <c r="U5" s="36">
        <v>3.4936466798792334</v>
      </c>
      <c r="V5" s="36">
        <v>0.20218526908002862</v>
      </c>
      <c r="W5" s="36">
        <v>3.4133758361500864E-2</v>
      </c>
      <c r="X5" s="36">
        <v>4.6449914083017567E-2</v>
      </c>
      <c r="Y5" s="36">
        <v>9.8840117864335192E-2</v>
      </c>
      <c r="Z5" s="36">
        <v>4.2367055240073892E-2</v>
      </c>
      <c r="AA5" s="36">
        <v>7.1167521475357459E-2</v>
      </c>
      <c r="AB5" s="37">
        <v>3.2582075810553508E-2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8"/>
  <sheetViews>
    <sheetView workbookViewId="0"/>
  </sheetViews>
  <sheetFormatPr baseColWidth="10" defaultRowHeight="14.4"/>
  <cols>
    <col min="1" max="1" width="22.5546875" customWidth="1"/>
    <col min="2" max="2" width="25.44140625" customWidth="1"/>
    <col min="4" max="4" width="11.21875" bestFit="1" customWidth="1"/>
  </cols>
  <sheetData>
    <row r="1" spans="1:28" ht="25.8">
      <c r="A1" s="114" t="s">
        <v>505</v>
      </c>
    </row>
    <row r="3" spans="1:28" ht="15" thickBot="1">
      <c r="A3" s="19" t="s">
        <v>138</v>
      </c>
    </row>
    <row r="4" spans="1:28" ht="15" thickBot="1">
      <c r="B4" s="1" t="s">
        <v>0</v>
      </c>
      <c r="C4" s="3" t="s">
        <v>1</v>
      </c>
      <c r="D4" s="1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>
        <v>16</v>
      </c>
      <c r="T4" s="2">
        <v>17</v>
      </c>
      <c r="U4" s="2">
        <v>18</v>
      </c>
      <c r="V4" s="1">
        <v>19</v>
      </c>
      <c r="W4" s="2">
        <v>20</v>
      </c>
      <c r="X4" s="2">
        <v>21</v>
      </c>
      <c r="Y4" s="2">
        <v>22</v>
      </c>
      <c r="Z4" s="2">
        <v>23</v>
      </c>
      <c r="AA4" s="2">
        <v>24</v>
      </c>
      <c r="AB4" s="3">
        <v>25</v>
      </c>
    </row>
    <row r="5" spans="1:28">
      <c r="A5" s="16" t="s">
        <v>451</v>
      </c>
      <c r="B5" s="135" t="s">
        <v>452</v>
      </c>
      <c r="C5" s="99" t="s">
        <v>76</v>
      </c>
      <c r="D5" s="4">
        <v>0</v>
      </c>
      <c r="E5" s="5">
        <v>0</v>
      </c>
      <c r="F5" s="5">
        <v>2.8716182152088075E-5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10">
        <v>0</v>
      </c>
    </row>
    <row r="6" spans="1:28">
      <c r="A6" s="17" t="s">
        <v>453</v>
      </c>
      <c r="B6" s="136"/>
      <c r="C6" s="100" t="s">
        <v>76</v>
      </c>
      <c r="D6" s="11">
        <v>0</v>
      </c>
      <c r="E6" s="9">
        <v>0</v>
      </c>
      <c r="F6" s="9">
        <v>1.2292126007499013E-5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12">
        <v>0</v>
      </c>
    </row>
    <row r="7" spans="1:28">
      <c r="A7" s="17" t="s">
        <v>454</v>
      </c>
      <c r="B7" s="136"/>
      <c r="C7" s="100" t="s">
        <v>76</v>
      </c>
      <c r="D7" s="11">
        <v>0</v>
      </c>
      <c r="E7" s="9">
        <v>0</v>
      </c>
      <c r="F7" s="9">
        <v>7.6963782370070671E-6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2">
        <v>0</v>
      </c>
    </row>
    <row r="8" spans="1:28">
      <c r="A8" s="17" t="s">
        <v>455</v>
      </c>
      <c r="B8" s="136"/>
      <c r="C8" s="100" t="s">
        <v>76</v>
      </c>
      <c r="D8" s="11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5.327068186619166E-5</v>
      </c>
      <c r="P8" s="9">
        <v>4.4175862960279431E-5</v>
      </c>
      <c r="Q8" s="9">
        <v>6.9581335673939216E-5</v>
      </c>
      <c r="R8" s="9">
        <v>2.4870674077356007E-4</v>
      </c>
      <c r="S8" s="9">
        <v>8.3094705762212033E-5</v>
      </c>
      <c r="T8" s="9">
        <v>1.1756669307382071E-3</v>
      </c>
      <c r="U8" s="9">
        <v>3.1789774123807853E-3</v>
      </c>
      <c r="V8" s="9">
        <v>2.042013475954584E-3</v>
      </c>
      <c r="W8" s="9">
        <v>4.7687125641331831E-5</v>
      </c>
      <c r="X8" s="9">
        <v>0</v>
      </c>
      <c r="Y8" s="9">
        <v>0</v>
      </c>
      <c r="Z8" s="9">
        <v>0</v>
      </c>
      <c r="AA8" s="9">
        <v>0</v>
      </c>
      <c r="AB8" s="12">
        <v>0</v>
      </c>
    </row>
    <row r="9" spans="1:28">
      <c r="A9" s="17" t="s">
        <v>457</v>
      </c>
      <c r="B9" s="136"/>
      <c r="C9" s="100" t="s">
        <v>76</v>
      </c>
      <c r="D9" s="11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1.622767279509737E-3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12">
        <v>0</v>
      </c>
    </row>
    <row r="10" spans="1:28" ht="15" thickBot="1">
      <c r="A10" s="18" t="s">
        <v>456</v>
      </c>
      <c r="B10" s="137"/>
      <c r="C10" s="101" t="s">
        <v>76</v>
      </c>
      <c r="D10" s="13">
        <v>0</v>
      </c>
      <c r="E10" s="14">
        <v>0</v>
      </c>
      <c r="F10" s="14">
        <v>3.0801505252742279E-6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5">
        <v>0</v>
      </c>
    </row>
    <row r="11" spans="1:28">
      <c r="A11" s="58"/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spans="1:28" ht="15" thickBot="1">
      <c r="A12" s="19" t="s">
        <v>139</v>
      </c>
    </row>
    <row r="13" spans="1:28" ht="15" thickBot="1">
      <c r="A13" s="19"/>
      <c r="B13" s="1" t="s">
        <v>0</v>
      </c>
      <c r="C13" s="3" t="s">
        <v>1</v>
      </c>
      <c r="D13" s="1">
        <v>1</v>
      </c>
      <c r="E13" s="2">
        <v>2</v>
      </c>
      <c r="F13" s="2">
        <v>3</v>
      </c>
      <c r="G13" s="2">
        <v>4</v>
      </c>
      <c r="H13" s="2">
        <v>5</v>
      </c>
      <c r="I13" s="2">
        <v>6</v>
      </c>
      <c r="J13" s="2">
        <v>7</v>
      </c>
      <c r="K13" s="2">
        <v>8</v>
      </c>
      <c r="L13" s="2">
        <v>9</v>
      </c>
      <c r="M13" s="2">
        <v>10</v>
      </c>
      <c r="N13" s="2">
        <v>11</v>
      </c>
      <c r="O13" s="2">
        <v>12</v>
      </c>
      <c r="P13" s="2">
        <v>13</v>
      </c>
      <c r="Q13" s="2">
        <v>14</v>
      </c>
      <c r="R13" s="2">
        <v>15</v>
      </c>
      <c r="S13" s="2">
        <v>16</v>
      </c>
      <c r="T13" s="2">
        <v>17</v>
      </c>
      <c r="U13" s="2">
        <v>18</v>
      </c>
      <c r="V13" s="1">
        <v>19</v>
      </c>
      <c r="W13" s="2">
        <v>20</v>
      </c>
      <c r="X13" s="2">
        <v>21</v>
      </c>
      <c r="Y13" s="2">
        <v>22</v>
      </c>
      <c r="Z13" s="2">
        <v>23</v>
      </c>
      <c r="AA13" s="2">
        <v>24</v>
      </c>
      <c r="AB13" s="3">
        <v>25</v>
      </c>
    </row>
    <row r="14" spans="1:28">
      <c r="A14" s="16" t="s">
        <v>451</v>
      </c>
      <c r="B14" s="118" t="s">
        <v>450</v>
      </c>
      <c r="C14" s="38" t="s">
        <v>76</v>
      </c>
      <c r="D14" s="4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7.5519153074381356E-5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10">
        <v>0</v>
      </c>
    </row>
    <row r="15" spans="1:28">
      <c r="A15" s="17" t="s">
        <v>453</v>
      </c>
      <c r="B15" s="119"/>
      <c r="C15" s="39" t="s">
        <v>76</v>
      </c>
      <c r="D15" s="11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2.1779956006244352E-5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12">
        <v>0</v>
      </c>
    </row>
    <row r="16" spans="1:28">
      <c r="A16" s="17" t="s">
        <v>454</v>
      </c>
      <c r="B16" s="119"/>
      <c r="C16" s="39" t="s">
        <v>76</v>
      </c>
      <c r="D16" s="11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5.5656676609401311E-6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12">
        <v>0</v>
      </c>
    </row>
    <row r="17" spans="1:28">
      <c r="A17" s="17" t="s">
        <v>455</v>
      </c>
      <c r="B17" s="119"/>
      <c r="C17" s="39" t="s">
        <v>76</v>
      </c>
      <c r="D17" s="11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12">
        <v>0</v>
      </c>
    </row>
    <row r="18" spans="1:28">
      <c r="A18" s="17" t="s">
        <v>457</v>
      </c>
      <c r="B18" s="119"/>
      <c r="C18" s="39" t="s">
        <v>76</v>
      </c>
      <c r="D18" s="11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12">
        <v>0</v>
      </c>
    </row>
    <row r="19" spans="1:28" ht="15" thickBot="1">
      <c r="A19" s="18" t="s">
        <v>456</v>
      </c>
      <c r="B19" s="120"/>
      <c r="C19" s="40" t="s">
        <v>76</v>
      </c>
      <c r="D19" s="13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5">
        <v>0</v>
      </c>
    </row>
    <row r="21" spans="1:28" ht="15" thickBot="1">
      <c r="A21" s="19" t="s">
        <v>232</v>
      </c>
    </row>
    <row r="22" spans="1:28" ht="15" thickBot="1">
      <c r="B22" s="1" t="s">
        <v>0</v>
      </c>
      <c r="C22" s="3" t="s">
        <v>1</v>
      </c>
      <c r="D22" s="41" t="s">
        <v>136</v>
      </c>
    </row>
    <row r="23" spans="1:28">
      <c r="A23" s="16" t="s">
        <v>451</v>
      </c>
      <c r="B23" s="118" t="s">
        <v>460</v>
      </c>
      <c r="C23" s="38" t="s">
        <v>137</v>
      </c>
      <c r="D23" s="42">
        <v>1.0747648258786939</v>
      </c>
    </row>
    <row r="24" spans="1:28">
      <c r="A24" s="17" t="s">
        <v>453</v>
      </c>
      <c r="B24" s="119"/>
      <c r="C24" s="39" t="s">
        <v>137</v>
      </c>
      <c r="D24" s="44">
        <v>1.4785945797085507</v>
      </c>
    </row>
    <row r="25" spans="1:28">
      <c r="A25" s="17" t="s">
        <v>454</v>
      </c>
      <c r="B25" s="119"/>
      <c r="C25" s="39" t="s">
        <v>137</v>
      </c>
      <c r="D25" s="44">
        <v>2.0279959599874169</v>
      </c>
    </row>
    <row r="26" spans="1:28" ht="15" thickBot="1">
      <c r="A26" s="18" t="s">
        <v>458</v>
      </c>
      <c r="B26" s="120"/>
      <c r="C26" s="40" t="s">
        <v>137</v>
      </c>
      <c r="D26" s="43">
        <v>3.5782772950888475</v>
      </c>
    </row>
    <row r="28" spans="1:28" ht="15" thickBot="1">
      <c r="A28" s="19" t="s">
        <v>231</v>
      </c>
    </row>
    <row r="29" spans="1:28" ht="15" thickBot="1">
      <c r="B29" s="1" t="s">
        <v>0</v>
      </c>
      <c r="C29" s="3" t="s">
        <v>1</v>
      </c>
      <c r="D29" s="41" t="s">
        <v>136</v>
      </c>
    </row>
    <row r="30" spans="1:28">
      <c r="A30" s="16" t="s">
        <v>451</v>
      </c>
      <c r="B30" s="118" t="s">
        <v>459</v>
      </c>
      <c r="C30" s="38" t="s">
        <v>137</v>
      </c>
      <c r="D30" s="42">
        <v>4.4374009508716325E-2</v>
      </c>
    </row>
    <row r="31" spans="1:28">
      <c r="A31" s="17" t="s">
        <v>453</v>
      </c>
      <c r="B31" s="119"/>
      <c r="C31" s="39" t="s">
        <v>137</v>
      </c>
      <c r="D31" s="44">
        <v>0.37400950871632332</v>
      </c>
    </row>
    <row r="32" spans="1:28" ht="15" thickBot="1">
      <c r="A32" s="18" t="s">
        <v>454</v>
      </c>
      <c r="B32" s="120"/>
      <c r="C32" s="40" t="s">
        <v>137</v>
      </c>
      <c r="D32" s="43">
        <v>0.58161648177496039</v>
      </c>
    </row>
    <row r="34" spans="1:4" ht="15" thickBot="1">
      <c r="A34" s="19" t="s">
        <v>233</v>
      </c>
    </row>
    <row r="35" spans="1:4" ht="15" thickBot="1">
      <c r="B35" s="1" t="s">
        <v>0</v>
      </c>
      <c r="C35" s="3" t="s">
        <v>1</v>
      </c>
      <c r="D35" s="41" t="s">
        <v>136</v>
      </c>
    </row>
    <row r="36" spans="1:4">
      <c r="A36" s="16" t="s">
        <v>451</v>
      </c>
      <c r="B36" s="118" t="s">
        <v>461</v>
      </c>
      <c r="C36" s="38" t="s">
        <v>137</v>
      </c>
      <c r="D36" s="42">
        <v>2.5</v>
      </c>
    </row>
    <row r="37" spans="1:4">
      <c r="A37" s="17" t="s">
        <v>453</v>
      </c>
      <c r="B37" s="119"/>
      <c r="C37" s="39" t="s">
        <v>137</v>
      </c>
      <c r="D37" s="44">
        <v>2.0408163265306123</v>
      </c>
    </row>
    <row r="38" spans="1:4" ht="15" thickBot="1">
      <c r="A38" s="18" t="s">
        <v>454</v>
      </c>
      <c r="B38" s="120"/>
      <c r="C38" s="40" t="s">
        <v>137</v>
      </c>
      <c r="D38" s="43">
        <v>2.7027027027027026</v>
      </c>
    </row>
  </sheetData>
  <mergeCells count="5">
    <mergeCell ref="B23:B26"/>
    <mergeCell ref="B14:B19"/>
    <mergeCell ref="B30:B32"/>
    <mergeCell ref="B36:B38"/>
    <mergeCell ref="B5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3"/>
  <sheetViews>
    <sheetView zoomScaleNormal="100" workbookViewId="0"/>
  </sheetViews>
  <sheetFormatPr baseColWidth="10" defaultRowHeight="14.4"/>
  <cols>
    <col min="1" max="1" width="32.88671875" customWidth="1"/>
    <col min="2" max="2" width="21.5546875" customWidth="1"/>
    <col min="3" max="3" width="13.21875" customWidth="1"/>
    <col min="4" max="4" width="11.33203125" bestFit="1" customWidth="1"/>
    <col min="5" max="5" width="11.88671875" bestFit="1" customWidth="1"/>
    <col min="6" max="28" width="11" bestFit="1" customWidth="1"/>
  </cols>
  <sheetData>
    <row r="1" spans="1:28" ht="25.8">
      <c r="A1" s="114" t="s">
        <v>506</v>
      </c>
    </row>
    <row r="3" spans="1:28" ht="15" thickBot="1">
      <c r="A3" s="19" t="s">
        <v>158</v>
      </c>
    </row>
    <row r="4" spans="1:28" ht="15" thickBot="1">
      <c r="B4" s="1" t="s">
        <v>0</v>
      </c>
      <c r="C4" s="3" t="s">
        <v>1</v>
      </c>
      <c r="D4" s="23">
        <v>1</v>
      </c>
      <c r="E4" s="22">
        <v>2</v>
      </c>
      <c r="F4" s="22">
        <v>3</v>
      </c>
      <c r="G4" s="22">
        <v>4</v>
      </c>
      <c r="H4" s="22">
        <v>5</v>
      </c>
      <c r="I4" s="22">
        <v>6</v>
      </c>
      <c r="J4" s="22">
        <v>7</v>
      </c>
      <c r="K4" s="22">
        <v>8</v>
      </c>
      <c r="L4" s="22">
        <v>9</v>
      </c>
      <c r="M4" s="22">
        <v>10</v>
      </c>
      <c r="N4" s="22">
        <v>11</v>
      </c>
      <c r="O4" s="22">
        <v>12</v>
      </c>
      <c r="P4" s="22">
        <v>13</v>
      </c>
      <c r="Q4" s="22">
        <v>14</v>
      </c>
      <c r="R4" s="22">
        <v>15</v>
      </c>
      <c r="S4" s="22">
        <v>16</v>
      </c>
      <c r="T4" s="22">
        <v>17</v>
      </c>
      <c r="U4" s="22">
        <v>18</v>
      </c>
      <c r="V4" s="22">
        <v>19</v>
      </c>
      <c r="W4" s="22">
        <v>20</v>
      </c>
      <c r="X4" s="22">
        <v>21</v>
      </c>
      <c r="Y4" s="22">
        <v>22</v>
      </c>
      <c r="Z4" s="22">
        <v>23</v>
      </c>
      <c r="AA4" s="22">
        <v>24</v>
      </c>
      <c r="AB4" s="24">
        <v>25</v>
      </c>
    </row>
    <row r="5" spans="1:28">
      <c r="A5" s="29" t="s">
        <v>415</v>
      </c>
      <c r="B5" s="138" t="s">
        <v>462</v>
      </c>
      <c r="C5" s="39" t="s">
        <v>157</v>
      </c>
      <c r="D5" s="104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197.81112452931708</v>
      </c>
      <c r="N5" s="21">
        <v>0</v>
      </c>
      <c r="O5" s="21">
        <v>0</v>
      </c>
      <c r="P5" s="21">
        <v>0</v>
      </c>
      <c r="Q5" s="21">
        <v>0</v>
      </c>
      <c r="R5" s="21">
        <v>5.5205073104227562</v>
      </c>
      <c r="S5" s="21">
        <v>15.583121874877047</v>
      </c>
      <c r="T5" s="21">
        <v>7.2000544281503016</v>
      </c>
      <c r="U5" s="21">
        <v>30.546882565963909</v>
      </c>
      <c r="V5" s="21">
        <v>0</v>
      </c>
      <c r="W5" s="21">
        <v>3.0242976687805571E-2</v>
      </c>
      <c r="X5" s="21">
        <v>0</v>
      </c>
      <c r="Y5" s="21">
        <v>0</v>
      </c>
      <c r="Z5" s="21">
        <v>0</v>
      </c>
      <c r="AA5" s="21">
        <v>0</v>
      </c>
      <c r="AB5" s="27">
        <v>0</v>
      </c>
    </row>
    <row r="6" spans="1:28">
      <c r="A6" s="31" t="s">
        <v>416</v>
      </c>
      <c r="B6" s="119"/>
      <c r="C6" s="39" t="s">
        <v>157</v>
      </c>
      <c r="D6" s="11">
        <v>4.0322488912560592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12">
        <v>0</v>
      </c>
    </row>
    <row r="7" spans="1:28">
      <c r="A7" s="31" t="s">
        <v>417</v>
      </c>
      <c r="B7" s="119"/>
      <c r="C7" s="39" t="s">
        <v>157</v>
      </c>
      <c r="D7" s="11">
        <v>0</v>
      </c>
      <c r="E7" s="9">
        <v>5.2980625947204647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2">
        <v>0</v>
      </c>
    </row>
    <row r="8" spans="1:28" ht="15" thickBot="1">
      <c r="A8" s="30" t="s">
        <v>418</v>
      </c>
      <c r="B8" s="120"/>
      <c r="C8" s="40" t="s">
        <v>157</v>
      </c>
      <c r="D8" s="13">
        <v>0.17363252972253837</v>
      </c>
      <c r="E8" s="14">
        <v>0.57580845294411453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5">
        <v>0</v>
      </c>
    </row>
    <row r="10" spans="1:28" ht="15" thickBot="1">
      <c r="A10" s="19" t="s">
        <v>213</v>
      </c>
    </row>
    <row r="11" spans="1:28" ht="15" thickBot="1">
      <c r="B11" s="1" t="s">
        <v>0</v>
      </c>
      <c r="C11" s="3" t="s">
        <v>1</v>
      </c>
      <c r="D11" s="41" t="s">
        <v>136</v>
      </c>
    </row>
    <row r="12" spans="1:28" ht="58.2" thickBot="1">
      <c r="A12" s="76" t="s">
        <v>159</v>
      </c>
      <c r="B12" s="52" t="s">
        <v>463</v>
      </c>
      <c r="C12" s="79" t="s">
        <v>196</v>
      </c>
      <c r="D12" s="53">
        <v>7.0000000000000001E-3</v>
      </c>
    </row>
    <row r="14" spans="1:28" ht="15" thickBot="1">
      <c r="A14" s="19" t="s">
        <v>160</v>
      </c>
    </row>
    <row r="15" spans="1:28" ht="15" thickBot="1">
      <c r="B15" s="1" t="s">
        <v>0</v>
      </c>
      <c r="C15" s="3" t="s">
        <v>1</v>
      </c>
      <c r="D15" s="41" t="s">
        <v>136</v>
      </c>
    </row>
    <row r="16" spans="1:28" ht="43.8" thickBot="1">
      <c r="A16" s="76" t="s">
        <v>195</v>
      </c>
      <c r="B16" s="113" t="s">
        <v>468</v>
      </c>
      <c r="C16" s="79" t="s">
        <v>157</v>
      </c>
      <c r="D16" s="53">
        <v>4.8534229225657477E-2</v>
      </c>
    </row>
    <row r="18" spans="1:4" ht="15" thickBot="1">
      <c r="A18" s="19" t="s">
        <v>465</v>
      </c>
    </row>
    <row r="19" spans="1:4" ht="15" thickBot="1">
      <c r="B19" s="1" t="s">
        <v>0</v>
      </c>
      <c r="C19" s="3" t="s">
        <v>1</v>
      </c>
      <c r="D19" s="78" t="s">
        <v>136</v>
      </c>
    </row>
    <row r="20" spans="1:4">
      <c r="A20" s="16" t="s">
        <v>464</v>
      </c>
      <c r="B20" s="139" t="s">
        <v>469</v>
      </c>
      <c r="C20" s="38" t="s">
        <v>194</v>
      </c>
      <c r="D20" s="112">
        <f>4627851.70043383*5.29806259472046</f>
        <v>24518647.987981949</v>
      </c>
    </row>
    <row r="21" spans="1:4">
      <c r="A21" s="17" t="s">
        <v>466</v>
      </c>
      <c r="B21" s="140"/>
      <c r="C21" s="39" t="s">
        <v>194</v>
      </c>
      <c r="D21" s="61">
        <v>11100000</v>
      </c>
    </row>
    <row r="22" spans="1:4">
      <c r="A22" s="17" t="s">
        <v>467</v>
      </c>
      <c r="B22" s="140"/>
      <c r="C22" s="39" t="s">
        <v>194</v>
      </c>
      <c r="D22" s="62">
        <v>4381352.012018051</v>
      </c>
    </row>
    <row r="23" spans="1:4" ht="15" thickBot="1">
      <c r="A23" s="18" t="s">
        <v>135</v>
      </c>
      <c r="B23" s="141"/>
      <c r="C23" s="40" t="s">
        <v>194</v>
      </c>
      <c r="D23" s="63">
        <v>104000000</v>
      </c>
    </row>
  </sheetData>
  <mergeCells count="2">
    <mergeCell ref="B5:B8"/>
    <mergeCell ref="B20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3"/>
  <sheetViews>
    <sheetView zoomScaleNormal="100" workbookViewId="0"/>
  </sheetViews>
  <sheetFormatPr baseColWidth="10" defaultRowHeight="14.4"/>
  <cols>
    <col min="1" max="1" width="30.44140625" customWidth="1"/>
    <col min="2" max="2" width="22.33203125" customWidth="1"/>
    <col min="3" max="3" width="18" customWidth="1"/>
    <col min="4" max="4" width="21.6640625" bestFit="1" customWidth="1"/>
    <col min="5" max="5" width="15" bestFit="1" customWidth="1"/>
    <col min="6" max="6" width="19.21875" bestFit="1" customWidth="1"/>
    <col min="7" max="7" width="21.44140625" bestFit="1" customWidth="1"/>
    <col min="8" max="8" width="15.6640625" bestFit="1" customWidth="1"/>
    <col min="9" max="9" width="14.21875" bestFit="1" customWidth="1"/>
    <col min="10" max="10" width="23.109375" bestFit="1" customWidth="1"/>
    <col min="11" max="11" width="15.6640625" bestFit="1" customWidth="1"/>
    <col min="12" max="12" width="15" bestFit="1" customWidth="1"/>
    <col min="13" max="14" width="15.6640625" bestFit="1" customWidth="1"/>
    <col min="15" max="15" width="14.44140625" bestFit="1" customWidth="1"/>
    <col min="16" max="16" width="29.21875" bestFit="1" customWidth="1"/>
    <col min="17" max="18" width="15.21875" bestFit="1" customWidth="1"/>
    <col min="19" max="19" width="33.44140625" bestFit="1" customWidth="1"/>
    <col min="20" max="20" width="14.21875" bestFit="1" customWidth="1"/>
    <col min="21" max="21" width="13.5546875" bestFit="1" customWidth="1"/>
    <col min="22" max="22" width="11.109375" bestFit="1" customWidth="1"/>
    <col min="23" max="23" width="15" bestFit="1" customWidth="1"/>
    <col min="24" max="26" width="11.109375" bestFit="1" customWidth="1"/>
    <col min="27" max="28" width="15.6640625" bestFit="1" customWidth="1"/>
  </cols>
  <sheetData>
    <row r="1" spans="1:28" ht="25.8">
      <c r="A1" s="114" t="s">
        <v>507</v>
      </c>
    </row>
    <row r="3" spans="1:28" ht="15" thickBot="1">
      <c r="A3" s="19" t="s">
        <v>155</v>
      </c>
    </row>
    <row r="4" spans="1:28" ht="15" thickBot="1">
      <c r="B4" s="1" t="s">
        <v>0</v>
      </c>
      <c r="C4" s="3" t="s">
        <v>1</v>
      </c>
      <c r="D4" s="1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>
        <v>16</v>
      </c>
      <c r="T4" s="2">
        <v>17</v>
      </c>
      <c r="U4" s="2">
        <v>18</v>
      </c>
      <c r="V4" s="1">
        <v>19</v>
      </c>
      <c r="W4" s="2">
        <v>20</v>
      </c>
      <c r="X4" s="2">
        <v>21</v>
      </c>
      <c r="Y4" s="2">
        <v>22</v>
      </c>
      <c r="Z4" s="2">
        <v>23</v>
      </c>
      <c r="AA4" s="2">
        <v>24</v>
      </c>
      <c r="AB4" s="3">
        <v>25</v>
      </c>
    </row>
    <row r="5" spans="1:28" ht="14.4" customHeight="1">
      <c r="A5" s="29" t="s">
        <v>140</v>
      </c>
      <c r="B5" s="145" t="s">
        <v>473</v>
      </c>
      <c r="C5" s="10" t="s">
        <v>141</v>
      </c>
      <c r="D5" s="32">
        <v>9.2532882329322229E-6</v>
      </c>
      <c r="E5" s="5">
        <v>0</v>
      </c>
      <c r="F5" s="5">
        <v>0</v>
      </c>
      <c r="G5" s="5">
        <v>0</v>
      </c>
      <c r="H5" s="5">
        <v>1.0958727246936731E-4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1.6093470390009489E-5</v>
      </c>
      <c r="AB5" s="10">
        <v>5.1614371057616756E-7</v>
      </c>
    </row>
    <row r="6" spans="1:28">
      <c r="A6" s="31" t="s">
        <v>142</v>
      </c>
      <c r="B6" s="146"/>
      <c r="C6" s="12" t="s">
        <v>143</v>
      </c>
      <c r="D6" s="20">
        <v>1.484894913404418E-5</v>
      </c>
      <c r="E6" s="9">
        <v>0</v>
      </c>
      <c r="F6" s="9">
        <v>2.3906360046584169E-5</v>
      </c>
      <c r="G6" s="9">
        <v>0</v>
      </c>
      <c r="H6" s="9">
        <v>0</v>
      </c>
      <c r="I6" s="9">
        <v>0</v>
      </c>
      <c r="J6" s="9">
        <v>0</v>
      </c>
      <c r="K6" s="9">
        <v>2.3906360046584169E-5</v>
      </c>
      <c r="L6" s="9">
        <v>0</v>
      </c>
      <c r="M6" s="9">
        <v>9.1863669150473893E-5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7.0699248233416659E-5</v>
      </c>
      <c r="AB6" s="12">
        <v>1.6256291738389055E-4</v>
      </c>
    </row>
    <row r="7" spans="1:28">
      <c r="A7" s="31" t="s">
        <v>144</v>
      </c>
      <c r="B7" s="146"/>
      <c r="C7" s="12" t="s">
        <v>145</v>
      </c>
      <c r="D7" s="20">
        <v>8.0929491125146808E-7</v>
      </c>
      <c r="E7" s="9">
        <v>0</v>
      </c>
      <c r="F7" s="9">
        <v>1.9385681502325283E-7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2">
        <v>0</v>
      </c>
    </row>
    <row r="8" spans="1:28" ht="14.4" customHeight="1">
      <c r="A8" s="31" t="s">
        <v>146</v>
      </c>
      <c r="B8" s="146"/>
      <c r="C8" s="12" t="s">
        <v>147</v>
      </c>
      <c r="D8" s="20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4.2237398617842288E-3</v>
      </c>
      <c r="P8" s="9">
        <v>4.2237398617842288E-3</v>
      </c>
      <c r="Q8" s="9">
        <v>4.2237398617842288E-3</v>
      </c>
      <c r="R8" s="9">
        <v>4.2237398617842288E-3</v>
      </c>
      <c r="S8" s="9">
        <v>4.2237398617842288E-3</v>
      </c>
      <c r="T8" s="9">
        <v>4.2237398617842288E-3</v>
      </c>
      <c r="U8" s="9">
        <v>4.2237398617842288E-3</v>
      </c>
      <c r="V8" s="9">
        <v>4.2237398617842288E-3</v>
      </c>
      <c r="W8" s="9">
        <v>4.2237398617842288E-3</v>
      </c>
      <c r="X8" s="9">
        <v>0</v>
      </c>
      <c r="Y8" s="9">
        <v>0</v>
      </c>
      <c r="Z8" s="9">
        <v>0</v>
      </c>
      <c r="AA8" s="9">
        <v>0</v>
      </c>
      <c r="AB8" s="12">
        <v>0</v>
      </c>
    </row>
    <row r="9" spans="1:28">
      <c r="A9" s="31" t="s">
        <v>148</v>
      </c>
      <c r="B9" s="146"/>
      <c r="C9" s="12" t="s">
        <v>149</v>
      </c>
      <c r="D9" s="20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3.5717969111722106E-2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12">
        <v>0</v>
      </c>
    </row>
    <row r="10" spans="1:28" ht="15" thickBot="1">
      <c r="A10" s="30" t="s">
        <v>150</v>
      </c>
      <c r="B10" s="147"/>
      <c r="C10" s="15" t="s">
        <v>149</v>
      </c>
      <c r="D10" s="28">
        <v>0</v>
      </c>
      <c r="E10" s="14">
        <v>0</v>
      </c>
      <c r="F10" s="14">
        <v>0</v>
      </c>
      <c r="G10" s="14">
        <v>6.907898936819799E-4</v>
      </c>
      <c r="H10" s="14">
        <v>6.907898936819799E-4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6.907898936819799E-4</v>
      </c>
      <c r="AB10" s="15">
        <v>0</v>
      </c>
    </row>
    <row r="12" spans="1:28" ht="15" thickBot="1">
      <c r="A12" s="19" t="s">
        <v>156</v>
      </c>
      <c r="N12" s="60"/>
    </row>
    <row r="13" spans="1:28" ht="15" thickBot="1">
      <c r="B13" s="1" t="s">
        <v>0</v>
      </c>
      <c r="C13" s="3" t="s">
        <v>1</v>
      </c>
      <c r="D13" s="41" t="s">
        <v>136</v>
      </c>
    </row>
    <row r="14" spans="1:28">
      <c r="A14" s="29" t="s">
        <v>154</v>
      </c>
      <c r="B14" s="145" t="s">
        <v>474</v>
      </c>
      <c r="C14" s="10" t="s">
        <v>151</v>
      </c>
      <c r="D14" s="67">
        <v>7.4712024999999987E-2</v>
      </c>
    </row>
    <row r="15" spans="1:28">
      <c r="A15" s="31" t="s">
        <v>152</v>
      </c>
      <c r="B15" s="146"/>
      <c r="C15" s="12" t="s">
        <v>151</v>
      </c>
      <c r="D15" s="64">
        <v>4.4801524999999995E-2</v>
      </c>
    </row>
    <row r="16" spans="1:28">
      <c r="A16" s="31" t="s">
        <v>421</v>
      </c>
      <c r="B16" s="146"/>
      <c r="C16" s="12" t="s">
        <v>151</v>
      </c>
      <c r="D16" s="64">
        <v>2.5544548780438998E-2</v>
      </c>
    </row>
    <row r="17" spans="1:28">
      <c r="A17" s="31" t="s">
        <v>422</v>
      </c>
      <c r="B17" s="146"/>
      <c r="C17" s="12" t="s">
        <v>151</v>
      </c>
      <c r="D17" s="64">
        <v>2.5515771578947369E-2</v>
      </c>
    </row>
    <row r="18" spans="1:28" ht="15" thickBot="1">
      <c r="A18" s="30" t="s">
        <v>153</v>
      </c>
      <c r="B18" s="147"/>
      <c r="C18" s="15" t="s">
        <v>151</v>
      </c>
      <c r="D18" s="65">
        <v>2.5544548780438998E-2</v>
      </c>
    </row>
    <row r="20" spans="1:28" ht="15" thickBot="1">
      <c r="A20" s="19" t="s">
        <v>434</v>
      </c>
      <c r="F20" s="57"/>
    </row>
    <row r="21" spans="1:28" ht="15" thickBot="1">
      <c r="A21" s="19"/>
      <c r="B21" s="1" t="s">
        <v>0</v>
      </c>
      <c r="C21" s="3" t="s">
        <v>1</v>
      </c>
      <c r="D21" s="41" t="s">
        <v>136</v>
      </c>
      <c r="F21" s="57"/>
      <c r="G21" s="57"/>
      <c r="H21" s="57"/>
      <c r="I21" s="57"/>
    </row>
    <row r="22" spans="1:28">
      <c r="A22" s="45" t="s">
        <v>192</v>
      </c>
      <c r="B22" s="151" t="s">
        <v>475</v>
      </c>
      <c r="C22" s="10" t="s">
        <v>198</v>
      </c>
      <c r="D22" s="42">
        <v>72.223995700279971</v>
      </c>
    </row>
    <row r="23" spans="1:28">
      <c r="A23" s="31" t="s">
        <v>419</v>
      </c>
      <c r="B23" s="152"/>
      <c r="C23" s="12" t="s">
        <v>199</v>
      </c>
      <c r="D23" s="44">
        <v>56.304193561405867</v>
      </c>
    </row>
    <row r="24" spans="1:28" ht="15" thickBot="1">
      <c r="A24" s="30" t="s">
        <v>420</v>
      </c>
      <c r="B24" s="153"/>
      <c r="C24" s="15" t="s">
        <v>197</v>
      </c>
      <c r="D24" s="43">
        <v>93.538132250223484</v>
      </c>
    </row>
    <row r="26" spans="1:28" ht="15" thickBot="1">
      <c r="A26" s="19" t="s">
        <v>78</v>
      </c>
    </row>
    <row r="27" spans="1:28" ht="15" thickBot="1">
      <c r="B27" s="1" t="s">
        <v>0</v>
      </c>
      <c r="C27" s="3" t="s">
        <v>1</v>
      </c>
      <c r="D27" s="1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>
        <v>7</v>
      </c>
      <c r="K27" s="2">
        <v>8</v>
      </c>
      <c r="L27" s="2">
        <v>9</v>
      </c>
      <c r="M27" s="2">
        <v>10</v>
      </c>
      <c r="N27" s="2">
        <v>11</v>
      </c>
      <c r="O27" s="2">
        <v>12</v>
      </c>
      <c r="P27" s="2">
        <v>13</v>
      </c>
      <c r="Q27" s="2">
        <v>14</v>
      </c>
      <c r="R27" s="2">
        <v>15</v>
      </c>
      <c r="S27" s="2">
        <v>16</v>
      </c>
      <c r="T27" s="2">
        <v>17</v>
      </c>
      <c r="U27" s="2">
        <v>18</v>
      </c>
      <c r="V27" s="1">
        <v>19</v>
      </c>
      <c r="W27" s="2">
        <v>20</v>
      </c>
      <c r="X27" s="2">
        <v>21</v>
      </c>
      <c r="Y27" s="2">
        <v>22</v>
      </c>
      <c r="Z27" s="2">
        <v>23</v>
      </c>
      <c r="AA27" s="2">
        <v>24</v>
      </c>
      <c r="AB27" s="3">
        <v>25</v>
      </c>
    </row>
    <row r="28" spans="1:28">
      <c r="A28" s="29" t="s">
        <v>163</v>
      </c>
      <c r="B28" s="124" t="s">
        <v>476</v>
      </c>
      <c r="C28" s="38" t="s">
        <v>77</v>
      </c>
      <c r="D28" s="4">
        <v>0</v>
      </c>
      <c r="E28" s="5">
        <v>0</v>
      </c>
      <c r="F28" s="5">
        <v>0</v>
      </c>
      <c r="G28" s="5">
        <v>0.3196961001120977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8.584952184779877E-3</v>
      </c>
      <c r="S28" s="5">
        <v>0</v>
      </c>
      <c r="T28" s="5">
        <v>0.1590619896145046</v>
      </c>
      <c r="U28" s="5">
        <v>1.1935277956173419E-2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10">
        <v>0</v>
      </c>
    </row>
    <row r="29" spans="1:28">
      <c r="A29" s="31" t="s">
        <v>164</v>
      </c>
      <c r="B29" s="125"/>
      <c r="C29" s="39" t="s">
        <v>77</v>
      </c>
      <c r="D29" s="11">
        <v>0</v>
      </c>
      <c r="E29" s="9">
        <v>0</v>
      </c>
      <c r="F29" s="9">
        <v>0</v>
      </c>
      <c r="G29" s="9">
        <v>2.1822410143336688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1.8702126806738318E-2</v>
      </c>
      <c r="S29" s="9">
        <v>0</v>
      </c>
      <c r="T29" s="9">
        <v>2.1871023571994382E-2</v>
      </c>
      <c r="U29" s="9">
        <v>5.1612012783452628E-2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12">
        <v>0</v>
      </c>
    </row>
    <row r="30" spans="1:28">
      <c r="A30" s="31" t="s">
        <v>165</v>
      </c>
      <c r="B30" s="125"/>
      <c r="C30" s="39" t="s">
        <v>77</v>
      </c>
      <c r="D30" s="11">
        <v>0</v>
      </c>
      <c r="E30" s="9">
        <v>0</v>
      </c>
      <c r="F30" s="9">
        <v>0</v>
      </c>
      <c r="G30" s="9">
        <v>1.0201659006529722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12">
        <v>0</v>
      </c>
    </row>
    <row r="31" spans="1:28">
      <c r="A31" s="31" t="s">
        <v>166</v>
      </c>
      <c r="B31" s="125"/>
      <c r="C31" s="39" t="s">
        <v>77</v>
      </c>
      <c r="D31" s="11">
        <v>0</v>
      </c>
      <c r="E31" s="9">
        <v>0</v>
      </c>
      <c r="F31" s="9">
        <v>0</v>
      </c>
      <c r="G31" s="9">
        <v>3.9734835782239455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1.6523967459768793E-2</v>
      </c>
      <c r="S31" s="9">
        <v>0</v>
      </c>
      <c r="T31" s="9">
        <v>1.6154733320223125</v>
      </c>
      <c r="U31" s="9">
        <v>10.483690096638815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12">
        <v>0</v>
      </c>
    </row>
    <row r="32" spans="1:28">
      <c r="A32" s="31" t="s">
        <v>167</v>
      </c>
      <c r="B32" s="125"/>
      <c r="C32" s="39" t="s">
        <v>77</v>
      </c>
      <c r="D32" s="11">
        <v>0</v>
      </c>
      <c r="E32" s="9">
        <v>0</v>
      </c>
      <c r="F32" s="9">
        <v>0</v>
      </c>
      <c r="G32" s="9">
        <v>0.11655961161634237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2.1075713623921861E-4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12">
        <v>0</v>
      </c>
    </row>
    <row r="33" spans="1:28">
      <c r="A33" s="31" t="s">
        <v>168</v>
      </c>
      <c r="B33" s="125"/>
      <c r="C33" s="39" t="s">
        <v>77</v>
      </c>
      <c r="D33" s="11">
        <v>0</v>
      </c>
      <c r="E33" s="9">
        <v>0</v>
      </c>
      <c r="F33" s="9">
        <v>0</v>
      </c>
      <c r="G33" s="9">
        <v>0.46838303743798287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1.6674185345766691E-4</v>
      </c>
      <c r="S33" s="9">
        <v>0</v>
      </c>
      <c r="T33" s="9">
        <v>2.3362229724630365E-3</v>
      </c>
      <c r="U33" s="9">
        <v>1.5161028755139208E-2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12">
        <v>0</v>
      </c>
    </row>
    <row r="34" spans="1:28">
      <c r="A34" s="31" t="s">
        <v>169</v>
      </c>
      <c r="B34" s="125"/>
      <c r="C34" s="39" t="s">
        <v>77</v>
      </c>
      <c r="D34" s="11">
        <v>0</v>
      </c>
      <c r="E34" s="9">
        <v>0</v>
      </c>
      <c r="F34" s="9">
        <v>0</v>
      </c>
      <c r="G34" s="9">
        <v>0.29051294886099704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12">
        <v>0</v>
      </c>
    </row>
    <row r="35" spans="1:28">
      <c r="A35" s="31" t="s">
        <v>170</v>
      </c>
      <c r="B35" s="125"/>
      <c r="C35" s="39" t="s">
        <v>77</v>
      </c>
      <c r="D35" s="11">
        <v>0</v>
      </c>
      <c r="E35" s="9">
        <v>0</v>
      </c>
      <c r="F35" s="9">
        <v>0</v>
      </c>
      <c r="G35" s="9">
        <v>3.7471458459450893E-2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12">
        <v>0</v>
      </c>
    </row>
    <row r="36" spans="1:28">
      <c r="A36" s="31" t="s">
        <v>171</v>
      </c>
      <c r="B36" s="125"/>
      <c r="C36" s="39" t="s">
        <v>77</v>
      </c>
      <c r="D36" s="11">
        <v>0</v>
      </c>
      <c r="E36" s="9">
        <v>0</v>
      </c>
      <c r="F36" s="9">
        <v>0</v>
      </c>
      <c r="G36" s="9">
        <v>0.34112945644638365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4.6426218218733538E-4</v>
      </c>
      <c r="U36" s="9">
        <v>2.096738019327763E-4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12">
        <v>0</v>
      </c>
    </row>
    <row r="37" spans="1:28">
      <c r="A37" s="31" t="s">
        <v>172</v>
      </c>
      <c r="B37" s="125"/>
      <c r="C37" s="39" t="s">
        <v>77</v>
      </c>
      <c r="D37" s="11">
        <v>0</v>
      </c>
      <c r="E37" s="9">
        <v>0</v>
      </c>
      <c r="F37" s="9">
        <v>0</v>
      </c>
      <c r="G37" s="9">
        <v>0.54898480685102657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4.6028563244697269E-3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12">
        <v>0</v>
      </c>
    </row>
    <row r="38" spans="1:28">
      <c r="A38" s="31" t="s">
        <v>173</v>
      </c>
      <c r="B38" s="125"/>
      <c r="C38" s="39" t="s">
        <v>77</v>
      </c>
      <c r="D38" s="11">
        <v>0</v>
      </c>
      <c r="E38" s="9">
        <v>0</v>
      </c>
      <c r="F38" s="9">
        <v>0</v>
      </c>
      <c r="G38" s="9">
        <v>0.41216352592230454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1.6154733320223125E-3</v>
      </c>
      <c r="U38" s="9">
        <v>1.0483690096638815E-2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12">
        <v>0</v>
      </c>
    </row>
    <row r="39" spans="1:28">
      <c r="A39" s="31" t="s">
        <v>174</v>
      </c>
      <c r="B39" s="125"/>
      <c r="C39" s="39" t="s">
        <v>77</v>
      </c>
      <c r="D39" s="11">
        <v>0</v>
      </c>
      <c r="E39" s="9">
        <v>0</v>
      </c>
      <c r="F39" s="9">
        <v>0</v>
      </c>
      <c r="G39" s="9">
        <v>5.3067122732645298E-3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12">
        <v>0</v>
      </c>
    </row>
    <row r="40" spans="1:28">
      <c r="A40" s="31" t="s">
        <v>175</v>
      </c>
      <c r="B40" s="125"/>
      <c r="C40" s="39" t="s">
        <v>77</v>
      </c>
      <c r="D40" s="11">
        <v>0</v>
      </c>
      <c r="E40" s="9">
        <v>0</v>
      </c>
      <c r="F40" s="9">
        <v>0</v>
      </c>
      <c r="G40" s="9">
        <v>0.43491006543600502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12">
        <v>0</v>
      </c>
    </row>
    <row r="41" spans="1:28">
      <c r="A41" s="31" t="s">
        <v>176</v>
      </c>
      <c r="B41" s="125"/>
      <c r="C41" s="39" t="s">
        <v>77</v>
      </c>
      <c r="D41" s="11">
        <v>0</v>
      </c>
      <c r="E41" s="9">
        <v>0</v>
      </c>
      <c r="F41" s="9">
        <v>0</v>
      </c>
      <c r="G41" s="9">
        <v>0.14966800769121991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12">
        <v>0</v>
      </c>
    </row>
    <row r="42" spans="1:28">
      <c r="A42" s="31" t="s">
        <v>177</v>
      </c>
      <c r="B42" s="125"/>
      <c r="C42" s="39" t="s">
        <v>77</v>
      </c>
      <c r="D42" s="11">
        <v>0</v>
      </c>
      <c r="E42" s="9">
        <v>0</v>
      </c>
      <c r="F42" s="9">
        <v>0</v>
      </c>
      <c r="G42" s="9">
        <v>3.4157712332862813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0.70979453312866847</v>
      </c>
      <c r="S42" s="9">
        <v>0</v>
      </c>
      <c r="T42" s="9">
        <v>4.9706871754532687</v>
      </c>
      <c r="U42" s="9">
        <v>8.0643769974144721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12">
        <v>0</v>
      </c>
    </row>
    <row r="43" spans="1:28" ht="28.8">
      <c r="A43" s="31" t="s">
        <v>178</v>
      </c>
      <c r="B43" s="125"/>
      <c r="C43" s="39" t="s">
        <v>77</v>
      </c>
      <c r="D43" s="11">
        <v>0</v>
      </c>
      <c r="E43" s="9">
        <v>0</v>
      </c>
      <c r="F43" s="9">
        <v>0</v>
      </c>
      <c r="G43" s="9">
        <v>3.2383554522923688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2.7418881791209206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12">
        <v>0</v>
      </c>
    </row>
    <row r="44" spans="1:28">
      <c r="A44" s="31" t="s">
        <v>179</v>
      </c>
      <c r="B44" s="125"/>
      <c r="C44" s="39" t="s">
        <v>77</v>
      </c>
      <c r="D44" s="11">
        <v>0</v>
      </c>
      <c r="E44" s="9">
        <v>0</v>
      </c>
      <c r="F44" s="9">
        <v>0</v>
      </c>
      <c r="G44" s="9">
        <v>26.362553966978169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12">
        <v>0</v>
      </c>
    </row>
    <row r="45" spans="1:28">
      <c r="A45" s="31" t="s">
        <v>180</v>
      </c>
      <c r="B45" s="125"/>
      <c r="C45" s="39" t="s">
        <v>77</v>
      </c>
      <c r="D45" s="11">
        <v>0</v>
      </c>
      <c r="E45" s="9">
        <v>0</v>
      </c>
      <c r="F45" s="9">
        <v>0</v>
      </c>
      <c r="G45" s="9">
        <v>0.30553033473772295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2">
        <v>0</v>
      </c>
    </row>
    <row r="46" spans="1:28" ht="15" thickBot="1">
      <c r="A46" s="30" t="s">
        <v>181</v>
      </c>
      <c r="B46" s="126"/>
      <c r="C46" s="40" t="s">
        <v>77</v>
      </c>
      <c r="D46" s="13">
        <v>0</v>
      </c>
      <c r="E46" s="14">
        <v>0</v>
      </c>
      <c r="F46" s="14">
        <v>0</v>
      </c>
      <c r="G46" s="14">
        <v>3.2307062157942521E-3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5">
        <v>0</v>
      </c>
    </row>
    <row r="48" spans="1:28" ht="15" thickBot="1">
      <c r="A48" s="19" t="s">
        <v>79</v>
      </c>
    </row>
    <row r="49" spans="1:28" ht="15" thickBot="1">
      <c r="A49" s="19"/>
      <c r="B49" s="1" t="s">
        <v>0</v>
      </c>
      <c r="C49" s="3" t="s">
        <v>1</v>
      </c>
      <c r="D49" s="1">
        <v>1</v>
      </c>
      <c r="E49" s="2">
        <v>2</v>
      </c>
      <c r="F49" s="2">
        <v>3</v>
      </c>
      <c r="G49" s="2">
        <v>4</v>
      </c>
      <c r="H49" s="2">
        <v>5</v>
      </c>
      <c r="I49" s="2">
        <v>6</v>
      </c>
      <c r="J49" s="2">
        <v>7</v>
      </c>
      <c r="K49" s="2">
        <v>8</v>
      </c>
      <c r="L49" s="2">
        <v>9</v>
      </c>
      <c r="M49" s="2">
        <v>10</v>
      </c>
      <c r="N49" s="2">
        <v>11</v>
      </c>
      <c r="O49" s="2">
        <v>12</v>
      </c>
      <c r="P49" s="2">
        <v>13</v>
      </c>
      <c r="Q49" s="2">
        <v>14</v>
      </c>
      <c r="R49" s="2">
        <v>15</v>
      </c>
      <c r="S49" s="2">
        <v>16</v>
      </c>
      <c r="T49" s="2">
        <v>17</v>
      </c>
      <c r="U49" s="2">
        <v>18</v>
      </c>
      <c r="V49" s="1">
        <v>19</v>
      </c>
      <c r="W49" s="2">
        <v>20</v>
      </c>
      <c r="X49" s="2">
        <v>21</v>
      </c>
      <c r="Y49" s="2">
        <v>22</v>
      </c>
      <c r="Z49" s="2">
        <v>23</v>
      </c>
      <c r="AA49" s="2">
        <v>24</v>
      </c>
      <c r="AB49" s="3">
        <v>25</v>
      </c>
    </row>
    <row r="50" spans="1:28">
      <c r="A50" s="29" t="s">
        <v>163</v>
      </c>
      <c r="B50" s="124" t="s">
        <v>477</v>
      </c>
      <c r="C50" s="38" t="s">
        <v>77</v>
      </c>
      <c r="D50" s="4">
        <v>0</v>
      </c>
      <c r="E50" s="5">
        <v>0</v>
      </c>
      <c r="F50" s="5">
        <v>0</v>
      </c>
      <c r="G50" s="5">
        <v>0.55767378280271929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10">
        <v>0</v>
      </c>
    </row>
    <row r="51" spans="1:28">
      <c r="A51" s="31" t="s">
        <v>164</v>
      </c>
      <c r="B51" s="125"/>
      <c r="C51" s="39" t="s">
        <v>77</v>
      </c>
      <c r="D51" s="11">
        <v>0</v>
      </c>
      <c r="E51" s="9">
        <v>0</v>
      </c>
      <c r="F51" s="9">
        <v>0</v>
      </c>
      <c r="G51" s="9">
        <v>2.2722731721050828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12">
        <v>0</v>
      </c>
    </row>
    <row r="52" spans="1:28">
      <c r="A52" s="31" t="s">
        <v>165</v>
      </c>
      <c r="B52" s="125"/>
      <c r="C52" s="39" t="s">
        <v>77</v>
      </c>
      <c r="D52" s="11">
        <v>0</v>
      </c>
      <c r="E52" s="9">
        <v>0</v>
      </c>
      <c r="F52" s="9">
        <v>0</v>
      </c>
      <c r="G52" s="9">
        <v>2.2585842291541418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12">
        <v>0</v>
      </c>
    </row>
    <row r="53" spans="1:28">
      <c r="A53" s="31" t="s">
        <v>166</v>
      </c>
      <c r="B53" s="125"/>
      <c r="C53" s="39" t="s">
        <v>77</v>
      </c>
      <c r="D53" s="11">
        <v>0</v>
      </c>
      <c r="E53" s="9">
        <v>0</v>
      </c>
      <c r="F53" s="9">
        <v>0</v>
      </c>
      <c r="G53" s="9">
        <v>3.538259404563445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12">
        <v>0</v>
      </c>
    </row>
    <row r="54" spans="1:28">
      <c r="A54" s="31" t="s">
        <v>167</v>
      </c>
      <c r="B54" s="125"/>
      <c r="C54" s="39" t="s">
        <v>77</v>
      </c>
      <c r="D54" s="11">
        <v>0</v>
      </c>
      <c r="E54" s="9">
        <v>0</v>
      </c>
      <c r="F54" s="9">
        <v>0</v>
      </c>
      <c r="G54" s="9">
        <v>2.4477608674850101E-2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12">
        <v>0</v>
      </c>
    </row>
    <row r="55" spans="1:28">
      <c r="A55" s="31" t="s">
        <v>168</v>
      </c>
      <c r="B55" s="125"/>
      <c r="C55" s="39" t="s">
        <v>77</v>
      </c>
      <c r="D55" s="11">
        <v>0</v>
      </c>
      <c r="E55" s="9">
        <v>0</v>
      </c>
      <c r="F55" s="9">
        <v>0</v>
      </c>
      <c r="G55" s="9">
        <v>0.35929585361079819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12">
        <v>0</v>
      </c>
    </row>
    <row r="56" spans="1:28">
      <c r="A56" s="31" t="s">
        <v>169</v>
      </c>
      <c r="B56" s="125"/>
      <c r="C56" s="39" t="s">
        <v>77</v>
      </c>
      <c r="D56" s="11">
        <v>0</v>
      </c>
      <c r="E56" s="9">
        <v>0</v>
      </c>
      <c r="F56" s="9">
        <v>0</v>
      </c>
      <c r="G56" s="9">
        <v>0.18813182270898571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12">
        <v>0</v>
      </c>
    </row>
    <row r="57" spans="1:28">
      <c r="A57" s="31" t="s">
        <v>170</v>
      </c>
      <c r="B57" s="125"/>
      <c r="C57" s="39" t="s">
        <v>77</v>
      </c>
      <c r="D57" s="11">
        <v>0</v>
      </c>
      <c r="E57" s="9">
        <v>0</v>
      </c>
      <c r="F57" s="9">
        <v>0</v>
      </c>
      <c r="G57" s="9">
        <v>3.7471458459450899E-3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12">
        <v>0</v>
      </c>
    </row>
    <row r="58" spans="1:28">
      <c r="A58" s="31" t="s">
        <v>171</v>
      </c>
      <c r="B58" s="125"/>
      <c r="C58" s="39" t="s">
        <v>77</v>
      </c>
      <c r="D58" s="11">
        <v>0</v>
      </c>
      <c r="E58" s="9">
        <v>0</v>
      </c>
      <c r="F58" s="9">
        <v>0</v>
      </c>
      <c r="G58" s="9">
        <v>0.38712307160578707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12">
        <v>0</v>
      </c>
    </row>
    <row r="59" spans="1:28">
      <c r="A59" s="31" t="s">
        <v>172</v>
      </c>
      <c r="B59" s="125"/>
      <c r="C59" s="39" t="s">
        <v>77</v>
      </c>
      <c r="D59" s="11">
        <v>0</v>
      </c>
      <c r="E59" s="9">
        <v>0</v>
      </c>
      <c r="F59" s="9">
        <v>0</v>
      </c>
      <c r="G59" s="9">
        <v>0.1152887801466036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12">
        <v>0</v>
      </c>
    </row>
    <row r="60" spans="1:28">
      <c r="A60" s="31" t="s">
        <v>173</v>
      </c>
      <c r="B60" s="125"/>
      <c r="C60" s="39" t="s">
        <v>77</v>
      </c>
      <c r="D60" s="11">
        <v>0</v>
      </c>
      <c r="E60" s="9">
        <v>0</v>
      </c>
      <c r="F60" s="9">
        <v>0</v>
      </c>
      <c r="G60" s="9">
        <v>8.6555196850141597E-2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12">
        <v>0</v>
      </c>
    </row>
    <row r="61" spans="1:28">
      <c r="A61" s="31" t="s">
        <v>174</v>
      </c>
      <c r="B61" s="125"/>
      <c r="C61" s="39" t="s">
        <v>77</v>
      </c>
      <c r="D61" s="11">
        <v>0</v>
      </c>
      <c r="E61" s="9">
        <v>0</v>
      </c>
      <c r="F61" s="9">
        <v>0</v>
      </c>
      <c r="G61" s="9">
        <v>5.3067122732645301E-5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12">
        <v>0</v>
      </c>
    </row>
    <row r="62" spans="1:28">
      <c r="A62" s="31" t="s">
        <v>175</v>
      </c>
      <c r="B62" s="125"/>
      <c r="C62" s="39" t="s">
        <v>77</v>
      </c>
      <c r="D62" s="11">
        <v>0</v>
      </c>
      <c r="E62" s="9">
        <v>0</v>
      </c>
      <c r="F62" s="9">
        <v>0</v>
      </c>
      <c r="G62" s="9">
        <v>0.88577091741246317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12">
        <v>0</v>
      </c>
    </row>
    <row r="63" spans="1:28">
      <c r="A63" s="31" t="s">
        <v>176</v>
      </c>
      <c r="B63" s="125"/>
      <c r="C63" s="39" t="s">
        <v>77</v>
      </c>
      <c r="D63" s="11">
        <v>0</v>
      </c>
      <c r="E63" s="9">
        <v>0</v>
      </c>
      <c r="F63" s="9">
        <v>0</v>
      </c>
      <c r="G63" s="9">
        <v>7.6526326936582942E-2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12">
        <v>0</v>
      </c>
    </row>
    <row r="64" spans="1:28">
      <c r="A64" s="31" t="s">
        <v>177</v>
      </c>
      <c r="B64" s="125"/>
      <c r="C64" s="39" t="s">
        <v>77</v>
      </c>
      <c r="D64" s="11">
        <v>0</v>
      </c>
      <c r="E64" s="9">
        <v>0</v>
      </c>
      <c r="F64" s="9">
        <v>0</v>
      </c>
      <c r="G64" s="9">
        <v>0.14552767774313161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12">
        <v>0</v>
      </c>
    </row>
    <row r="65" spans="1:28" ht="28.8">
      <c r="A65" s="31" t="s">
        <v>178</v>
      </c>
      <c r="B65" s="125"/>
      <c r="C65" s="39" t="s">
        <v>77</v>
      </c>
      <c r="D65" s="11">
        <v>0</v>
      </c>
      <c r="E65" s="9">
        <v>0</v>
      </c>
      <c r="F65" s="9">
        <v>0</v>
      </c>
      <c r="G65" s="9">
        <v>4.2604829643048847E-2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12">
        <v>0</v>
      </c>
    </row>
    <row r="66" spans="1:28">
      <c r="A66" s="31" t="s">
        <v>179</v>
      </c>
      <c r="B66" s="125"/>
      <c r="C66" s="39" t="s">
        <v>77</v>
      </c>
      <c r="D66" s="11">
        <v>0</v>
      </c>
      <c r="E66" s="9">
        <v>0</v>
      </c>
      <c r="F66" s="9">
        <v>0</v>
      </c>
      <c r="G66" s="9">
        <v>1.2815256918715949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12">
        <v>0</v>
      </c>
    </row>
    <row r="67" spans="1:28">
      <c r="A67" s="31" t="s">
        <v>180</v>
      </c>
      <c r="B67" s="125"/>
      <c r="C67" s="39" t="s">
        <v>77</v>
      </c>
      <c r="D67" s="48">
        <v>0</v>
      </c>
      <c r="E67" s="49">
        <v>0</v>
      </c>
      <c r="F67" s="49">
        <v>0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  <c r="W67" s="49">
        <v>0</v>
      </c>
      <c r="X67" s="49">
        <v>0</v>
      </c>
      <c r="Y67" s="49">
        <v>0</v>
      </c>
      <c r="Z67" s="49">
        <v>0</v>
      </c>
      <c r="AA67" s="49">
        <v>0</v>
      </c>
      <c r="AB67" s="50">
        <v>0</v>
      </c>
    </row>
    <row r="68" spans="1:28" ht="15" thickBot="1">
      <c r="A68" s="30" t="s">
        <v>181</v>
      </c>
      <c r="B68" s="126"/>
      <c r="C68" s="40" t="s">
        <v>77</v>
      </c>
      <c r="D68" s="13">
        <v>0</v>
      </c>
      <c r="E68" s="14">
        <v>0</v>
      </c>
      <c r="F68" s="14">
        <v>0</v>
      </c>
      <c r="G68" s="14">
        <v>7.3593294192000258E-3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5">
        <v>0</v>
      </c>
    </row>
    <row r="70" spans="1:28" ht="15" thickBot="1">
      <c r="A70" s="19" t="s">
        <v>80</v>
      </c>
    </row>
    <row r="71" spans="1:28" ht="15" thickBot="1">
      <c r="A71" s="19"/>
      <c r="B71" s="1" t="s">
        <v>0</v>
      </c>
      <c r="C71" s="3" t="s">
        <v>1</v>
      </c>
      <c r="D71" s="23">
        <v>1</v>
      </c>
      <c r="E71" s="22">
        <v>2</v>
      </c>
      <c r="F71" s="22">
        <v>3</v>
      </c>
      <c r="G71" s="22">
        <v>4</v>
      </c>
      <c r="H71" s="22">
        <v>5</v>
      </c>
      <c r="I71" s="22">
        <v>6</v>
      </c>
      <c r="J71" s="22">
        <v>7</v>
      </c>
      <c r="K71" s="22">
        <v>8</v>
      </c>
      <c r="L71" s="22">
        <v>9</v>
      </c>
      <c r="M71" s="22">
        <v>10</v>
      </c>
      <c r="N71" s="22">
        <v>11</v>
      </c>
      <c r="O71" s="22">
        <v>12</v>
      </c>
      <c r="P71" s="22">
        <v>13</v>
      </c>
      <c r="Q71" s="22">
        <v>14</v>
      </c>
      <c r="R71" s="22">
        <v>15</v>
      </c>
      <c r="S71" s="22">
        <v>16</v>
      </c>
      <c r="T71" s="22">
        <v>17</v>
      </c>
      <c r="U71" s="22">
        <v>18</v>
      </c>
      <c r="V71" s="23">
        <v>19</v>
      </c>
      <c r="W71" s="22">
        <v>20</v>
      </c>
      <c r="X71" s="22">
        <v>21</v>
      </c>
      <c r="Y71" s="22">
        <v>22</v>
      </c>
      <c r="Z71" s="22">
        <v>23</v>
      </c>
      <c r="AA71" s="22">
        <v>24</v>
      </c>
      <c r="AB71" s="24">
        <v>25</v>
      </c>
    </row>
    <row r="72" spans="1:28" ht="58.2" thickBot="1">
      <c r="A72" s="76" t="s">
        <v>478</v>
      </c>
      <c r="B72" s="115" t="s">
        <v>479</v>
      </c>
      <c r="C72" s="37" t="s">
        <v>77</v>
      </c>
      <c r="D72" s="54">
        <v>0</v>
      </c>
      <c r="E72" s="55">
        <v>0.29192871503848528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  <c r="AA72" s="55">
        <v>0</v>
      </c>
      <c r="AB72" s="56">
        <v>0</v>
      </c>
    </row>
    <row r="74" spans="1:28" ht="15" thickBot="1">
      <c r="A74" s="19" t="s">
        <v>182</v>
      </c>
    </row>
    <row r="75" spans="1:28" ht="15" thickBot="1">
      <c r="A75" s="19"/>
      <c r="B75" s="1" t="s">
        <v>0</v>
      </c>
      <c r="C75" s="3" t="s">
        <v>1</v>
      </c>
      <c r="D75" s="1">
        <v>1</v>
      </c>
      <c r="E75" s="2">
        <v>2</v>
      </c>
      <c r="F75" s="2">
        <v>3</v>
      </c>
      <c r="G75" s="2">
        <v>4</v>
      </c>
      <c r="H75" s="2">
        <v>5</v>
      </c>
      <c r="I75" s="2">
        <v>6</v>
      </c>
      <c r="J75" s="2">
        <v>7</v>
      </c>
      <c r="K75" s="2">
        <v>8</v>
      </c>
      <c r="L75" s="2">
        <v>9</v>
      </c>
      <c r="M75" s="2">
        <v>10</v>
      </c>
      <c r="N75" s="2">
        <v>11</v>
      </c>
      <c r="O75" s="2">
        <v>12</v>
      </c>
      <c r="P75" s="2">
        <v>13</v>
      </c>
      <c r="Q75" s="2">
        <v>14</v>
      </c>
      <c r="R75" s="2">
        <v>15</v>
      </c>
      <c r="S75" s="2">
        <v>16</v>
      </c>
      <c r="T75" s="2">
        <v>17</v>
      </c>
      <c r="U75" s="2">
        <v>18</v>
      </c>
      <c r="V75" s="1">
        <v>19</v>
      </c>
      <c r="W75" s="2">
        <v>20</v>
      </c>
      <c r="X75" s="2">
        <v>21</v>
      </c>
      <c r="Y75" s="2">
        <v>22</v>
      </c>
      <c r="Z75" s="2">
        <v>23</v>
      </c>
      <c r="AA75" s="2">
        <v>24</v>
      </c>
      <c r="AB75" s="3">
        <v>25</v>
      </c>
    </row>
    <row r="76" spans="1:28">
      <c r="A76" s="29" t="s">
        <v>81</v>
      </c>
      <c r="B76" s="118" t="s">
        <v>480</v>
      </c>
      <c r="C76" s="38" t="s">
        <v>84</v>
      </c>
      <c r="D76" s="4">
        <v>0.88082033337796251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10">
        <v>0</v>
      </c>
    </row>
    <row r="77" spans="1:28" ht="15" thickBot="1">
      <c r="A77" s="30" t="s">
        <v>82</v>
      </c>
      <c r="B77" s="120"/>
      <c r="C77" s="40" t="s">
        <v>84</v>
      </c>
      <c r="D77" s="13">
        <v>0.14971136813568256</v>
      </c>
      <c r="E77" s="14">
        <v>2.9963300362072509E-3</v>
      </c>
      <c r="F77" s="14">
        <v>0</v>
      </c>
      <c r="G77" s="14">
        <v>0</v>
      </c>
      <c r="H77" s="14">
        <v>3.8585429371227847E-3</v>
      </c>
      <c r="I77" s="14">
        <v>0</v>
      </c>
      <c r="J77" s="14">
        <v>7.7243832176331356E-6</v>
      </c>
      <c r="K77" s="14">
        <v>0</v>
      </c>
      <c r="L77" s="14">
        <v>1.9360790926422787E-3</v>
      </c>
      <c r="M77" s="14">
        <v>0</v>
      </c>
      <c r="N77" s="14">
        <v>1.4999441542522384E-3</v>
      </c>
      <c r="O77" s="14">
        <v>1.2304224679353295E-2</v>
      </c>
      <c r="P77" s="14">
        <v>1.0731704527748295E-2</v>
      </c>
      <c r="Q77" s="14">
        <v>0</v>
      </c>
      <c r="R77" s="14">
        <v>0</v>
      </c>
      <c r="S77" s="14">
        <v>1.3666071005741765E-2</v>
      </c>
      <c r="T77" s="14">
        <v>0</v>
      </c>
      <c r="U77" s="14">
        <v>1.961899773133691E-2</v>
      </c>
      <c r="V77" s="14">
        <v>0</v>
      </c>
      <c r="W77" s="14">
        <v>2.7123478933616756E-2</v>
      </c>
      <c r="X77" s="14">
        <v>0</v>
      </c>
      <c r="Y77" s="14">
        <v>0</v>
      </c>
      <c r="Z77" s="14">
        <v>0</v>
      </c>
      <c r="AA77" s="14">
        <v>0</v>
      </c>
      <c r="AB77" s="15">
        <v>0</v>
      </c>
    </row>
    <row r="79" spans="1:28" ht="15" thickBot="1">
      <c r="A79" s="19" t="s">
        <v>183</v>
      </c>
    </row>
    <row r="80" spans="1:28" ht="15" thickBot="1">
      <c r="A80" s="19"/>
      <c r="B80" s="1" t="s">
        <v>0</v>
      </c>
      <c r="C80" s="3" t="s">
        <v>1</v>
      </c>
      <c r="D80" s="23">
        <v>1</v>
      </c>
      <c r="E80" s="22">
        <v>2</v>
      </c>
      <c r="F80" s="22">
        <v>3</v>
      </c>
      <c r="G80" s="22">
        <v>4</v>
      </c>
      <c r="H80" s="22">
        <v>5</v>
      </c>
      <c r="I80" s="22">
        <v>6</v>
      </c>
      <c r="J80" s="22">
        <v>7</v>
      </c>
      <c r="K80" s="22">
        <v>8</v>
      </c>
      <c r="L80" s="22">
        <v>9</v>
      </c>
      <c r="M80" s="22">
        <v>10</v>
      </c>
      <c r="N80" s="22">
        <v>11</v>
      </c>
      <c r="O80" s="22">
        <v>12</v>
      </c>
      <c r="P80" s="22">
        <v>13</v>
      </c>
      <c r="Q80" s="22">
        <v>14</v>
      </c>
      <c r="R80" s="22">
        <v>15</v>
      </c>
      <c r="S80" s="22">
        <v>16</v>
      </c>
      <c r="T80" s="22">
        <v>17</v>
      </c>
      <c r="U80" s="22">
        <v>18</v>
      </c>
      <c r="V80" s="23">
        <v>19</v>
      </c>
      <c r="W80" s="22">
        <v>20</v>
      </c>
      <c r="X80" s="22">
        <v>21</v>
      </c>
      <c r="Y80" s="22">
        <v>22</v>
      </c>
      <c r="Z80" s="22">
        <v>23</v>
      </c>
      <c r="AA80" s="22">
        <v>24</v>
      </c>
      <c r="AB80" s="24">
        <v>25</v>
      </c>
    </row>
    <row r="81" spans="1:28" ht="29.4" thickBot="1">
      <c r="A81" s="76" t="s">
        <v>83</v>
      </c>
      <c r="B81" s="115" t="s">
        <v>481</v>
      </c>
      <c r="C81" s="37" t="s">
        <v>84</v>
      </c>
      <c r="D81" s="54">
        <v>6.3094623057779759E-3</v>
      </c>
      <c r="E81" s="55">
        <v>1.1890829464509926E-2</v>
      </c>
      <c r="F81" s="55">
        <v>0</v>
      </c>
      <c r="G81" s="55">
        <v>0</v>
      </c>
      <c r="H81" s="55">
        <v>1.1130766743250135E-2</v>
      </c>
      <c r="I81" s="55">
        <v>0</v>
      </c>
      <c r="J81" s="55">
        <v>2.8272050415356561E-5</v>
      </c>
      <c r="K81" s="55">
        <v>0</v>
      </c>
      <c r="L81" s="55">
        <v>1.2360393859477464E-2</v>
      </c>
      <c r="M81" s="55">
        <v>0</v>
      </c>
      <c r="N81" s="55">
        <v>4.5295863008517935E-3</v>
      </c>
      <c r="O81" s="55">
        <v>0.46703639673194097</v>
      </c>
      <c r="P81" s="55">
        <v>0.48521923588888205</v>
      </c>
      <c r="Q81" s="55">
        <v>0</v>
      </c>
      <c r="R81" s="55">
        <v>0</v>
      </c>
      <c r="S81" s="55">
        <v>0.12261059713555046</v>
      </c>
      <c r="T81" s="55">
        <v>0</v>
      </c>
      <c r="U81" s="55">
        <v>2.491561050453784E-2</v>
      </c>
      <c r="V81" s="55">
        <v>0</v>
      </c>
      <c r="W81" s="55">
        <v>0.28375862906744603</v>
      </c>
      <c r="X81" s="55">
        <v>0</v>
      </c>
      <c r="Y81" s="55">
        <v>0</v>
      </c>
      <c r="Z81" s="55">
        <v>0</v>
      </c>
      <c r="AA81" s="55">
        <v>0</v>
      </c>
      <c r="AB81" s="55">
        <v>0</v>
      </c>
    </row>
    <row r="83" spans="1:28" ht="15" thickBot="1">
      <c r="A83" s="19" t="s">
        <v>87</v>
      </c>
    </row>
    <row r="84" spans="1:28" ht="15" thickBot="1">
      <c r="A84" s="19"/>
      <c r="B84" s="1" t="s">
        <v>0</v>
      </c>
      <c r="C84" s="3" t="s">
        <v>1</v>
      </c>
      <c r="D84" s="41" t="s">
        <v>136</v>
      </c>
    </row>
    <row r="85" spans="1:28">
      <c r="A85" s="29" t="s">
        <v>85</v>
      </c>
      <c r="B85" s="118" t="s">
        <v>482</v>
      </c>
      <c r="C85" s="38" t="s">
        <v>84</v>
      </c>
      <c r="D85" s="42">
        <v>2.0333332734686297E-3</v>
      </c>
    </row>
    <row r="86" spans="1:28" ht="15" thickBot="1">
      <c r="A86" s="30" t="s">
        <v>86</v>
      </c>
      <c r="B86" s="120"/>
      <c r="C86" s="40" t="s">
        <v>84</v>
      </c>
      <c r="D86" s="43">
        <v>1.2000283163379274E-2</v>
      </c>
    </row>
    <row r="88" spans="1:28" ht="15" thickBot="1">
      <c r="A88" s="19" t="s">
        <v>89</v>
      </c>
    </row>
    <row r="89" spans="1:28" ht="15" thickBot="1">
      <c r="A89" s="19"/>
      <c r="B89" s="1" t="s">
        <v>0</v>
      </c>
      <c r="C89" s="3" t="s">
        <v>1</v>
      </c>
      <c r="D89" s="1">
        <v>1</v>
      </c>
      <c r="E89" s="2">
        <v>2</v>
      </c>
      <c r="F89" s="2">
        <v>3</v>
      </c>
      <c r="G89" s="2">
        <v>4</v>
      </c>
      <c r="H89" s="2">
        <v>5</v>
      </c>
      <c r="I89" s="2">
        <v>6</v>
      </c>
      <c r="J89" s="2">
        <v>7</v>
      </c>
      <c r="K89" s="2">
        <v>8</v>
      </c>
      <c r="L89" s="2">
        <v>9</v>
      </c>
      <c r="M89" s="2">
        <v>10</v>
      </c>
      <c r="N89" s="2">
        <v>11</v>
      </c>
      <c r="O89" s="2">
        <v>12</v>
      </c>
      <c r="P89" s="2">
        <v>13</v>
      </c>
      <c r="Q89" s="2">
        <v>14</v>
      </c>
      <c r="R89" s="2">
        <v>15</v>
      </c>
      <c r="S89" s="2">
        <v>16</v>
      </c>
      <c r="T89" s="2">
        <v>17</v>
      </c>
      <c r="U89" s="2">
        <v>18</v>
      </c>
      <c r="V89" s="1">
        <v>19</v>
      </c>
      <c r="W89" s="2">
        <v>20</v>
      </c>
      <c r="X89" s="2">
        <v>21</v>
      </c>
      <c r="Y89" s="2">
        <v>22</v>
      </c>
      <c r="Z89" s="2">
        <v>23</v>
      </c>
      <c r="AA89" s="2">
        <v>24</v>
      </c>
      <c r="AB89" s="3">
        <v>25</v>
      </c>
    </row>
    <row r="90" spans="1:28">
      <c r="A90" s="29" t="s">
        <v>423</v>
      </c>
      <c r="B90" s="118" t="s">
        <v>489</v>
      </c>
      <c r="C90" s="38" t="s">
        <v>88</v>
      </c>
      <c r="D90" s="4">
        <v>5166.7780251662798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3548.7334886626063</v>
      </c>
      <c r="AB90" s="10">
        <v>3548.7334886626063</v>
      </c>
    </row>
    <row r="91" spans="1:28">
      <c r="A91" s="31" t="s">
        <v>424</v>
      </c>
      <c r="B91" s="119"/>
      <c r="C91" s="39" t="s">
        <v>88</v>
      </c>
      <c r="D91" s="11">
        <v>3675.572834655869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12">
        <v>0</v>
      </c>
    </row>
    <row r="92" spans="1:28" ht="15" thickBot="1">
      <c r="A92" s="30" t="s">
        <v>425</v>
      </c>
      <c r="B92" s="120"/>
      <c r="C92" s="40" t="s">
        <v>88</v>
      </c>
      <c r="D92" s="13">
        <v>109.77508980946713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79.043840639312222</v>
      </c>
      <c r="AB92" s="15">
        <v>79.043840639312222</v>
      </c>
    </row>
    <row r="94" spans="1:28" ht="15" thickBot="1">
      <c r="A94" s="19" t="s">
        <v>187</v>
      </c>
    </row>
    <row r="95" spans="1:28" ht="15" thickBot="1">
      <c r="A95" s="19"/>
      <c r="B95" s="1" t="s">
        <v>0</v>
      </c>
      <c r="C95" s="3" t="s">
        <v>1</v>
      </c>
      <c r="D95" s="1">
        <v>1</v>
      </c>
      <c r="E95" s="2">
        <v>2</v>
      </c>
      <c r="F95" s="2">
        <v>3</v>
      </c>
      <c r="G95" s="2">
        <v>4</v>
      </c>
      <c r="H95" s="2">
        <v>5</v>
      </c>
      <c r="I95" s="2">
        <v>6</v>
      </c>
      <c r="J95" s="2">
        <v>7</v>
      </c>
      <c r="K95" s="2">
        <v>8</v>
      </c>
      <c r="L95" s="2">
        <v>9</v>
      </c>
      <c r="M95" s="2">
        <v>10</v>
      </c>
      <c r="N95" s="2">
        <v>11</v>
      </c>
      <c r="O95" s="2">
        <v>12</v>
      </c>
      <c r="P95" s="2">
        <v>13</v>
      </c>
      <c r="Q95" s="2">
        <v>14</v>
      </c>
      <c r="R95" s="2">
        <v>15</v>
      </c>
      <c r="S95" s="2">
        <v>16</v>
      </c>
      <c r="T95" s="2">
        <v>17</v>
      </c>
      <c r="U95" s="2">
        <v>18</v>
      </c>
      <c r="V95" s="1">
        <v>19</v>
      </c>
      <c r="W95" s="2">
        <v>20</v>
      </c>
      <c r="X95" s="2">
        <v>21</v>
      </c>
      <c r="Y95" s="2">
        <v>22</v>
      </c>
      <c r="Z95" s="2">
        <v>23</v>
      </c>
      <c r="AA95" s="2">
        <v>24</v>
      </c>
      <c r="AB95" s="3">
        <v>25</v>
      </c>
    </row>
    <row r="96" spans="1:28">
      <c r="A96" s="29" t="s">
        <v>188</v>
      </c>
      <c r="B96" s="148" t="s">
        <v>490</v>
      </c>
      <c r="C96" s="42" t="s">
        <v>88</v>
      </c>
      <c r="D96" s="4">
        <v>7314.1609365196446</v>
      </c>
      <c r="E96" s="5">
        <v>424.85270730817842</v>
      </c>
      <c r="F96" s="5">
        <v>0</v>
      </c>
      <c r="G96" s="5">
        <v>0</v>
      </c>
      <c r="H96" s="5">
        <v>424.85270730817842</v>
      </c>
      <c r="I96" s="5">
        <v>0</v>
      </c>
      <c r="J96" s="5">
        <v>0</v>
      </c>
      <c r="K96" s="5">
        <v>0</v>
      </c>
      <c r="L96" s="5">
        <v>460.93056400649425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424.85457863470589</v>
      </c>
      <c r="AB96" s="10">
        <v>424.85457863470589</v>
      </c>
    </row>
    <row r="97" spans="1:28">
      <c r="A97" s="31" t="s">
        <v>426</v>
      </c>
      <c r="B97" s="149"/>
      <c r="C97" s="44" t="s">
        <v>88</v>
      </c>
      <c r="D97" s="11">
        <v>0</v>
      </c>
      <c r="E97" s="9">
        <v>0</v>
      </c>
      <c r="F97" s="9">
        <v>5280.5107675814697</v>
      </c>
      <c r="G97" s="9">
        <v>18.023550531874797</v>
      </c>
      <c r="H97" s="9">
        <v>636.96344981542461</v>
      </c>
      <c r="I97" s="9">
        <v>0</v>
      </c>
      <c r="J97" s="9">
        <v>0</v>
      </c>
      <c r="K97" s="9">
        <v>12.139211261859993</v>
      </c>
      <c r="L97" s="9">
        <v>23.580367782053418</v>
      </c>
      <c r="M97" s="9">
        <v>4712.8909076861846</v>
      </c>
      <c r="N97" s="9">
        <v>70.762375889187027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0.3545771307070158</v>
      </c>
      <c r="AB97" s="12">
        <v>0.3545771307070158</v>
      </c>
    </row>
    <row r="98" spans="1:28" ht="15" thickBot="1">
      <c r="A98" s="30" t="s">
        <v>189</v>
      </c>
      <c r="B98" s="150"/>
      <c r="C98" s="43" t="s">
        <v>88</v>
      </c>
      <c r="D98" s="13">
        <v>0</v>
      </c>
      <c r="E98" s="14">
        <v>0</v>
      </c>
      <c r="F98" s="14">
        <v>6811.1851527124054</v>
      </c>
      <c r="G98" s="14">
        <v>155.2482685858231</v>
      </c>
      <c r="H98" s="14">
        <v>868.87029973858819</v>
      </c>
      <c r="I98" s="14">
        <v>0</v>
      </c>
      <c r="J98" s="14">
        <v>0</v>
      </c>
      <c r="K98" s="14">
        <v>60.646138552788649</v>
      </c>
      <c r="L98" s="14">
        <v>30.602902449311841</v>
      </c>
      <c r="M98" s="14">
        <v>6164.1957676550019</v>
      </c>
      <c r="N98" s="14">
        <v>94.829391520251619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5">
        <v>0</v>
      </c>
    </row>
    <row r="100" spans="1:28" ht="15" thickBot="1">
      <c r="A100" s="19" t="s">
        <v>218</v>
      </c>
    </row>
    <row r="101" spans="1:28" ht="15" thickBot="1">
      <c r="B101" s="1" t="s">
        <v>0</v>
      </c>
      <c r="C101" s="3" t="s">
        <v>1</v>
      </c>
      <c r="D101" s="1" t="s">
        <v>221</v>
      </c>
      <c r="E101" s="2" t="s">
        <v>483</v>
      </c>
      <c r="F101" s="2" t="s">
        <v>484</v>
      </c>
      <c r="G101" s="2" t="s">
        <v>485</v>
      </c>
      <c r="H101" s="2" t="s">
        <v>486</v>
      </c>
      <c r="I101" s="2" t="s">
        <v>487</v>
      </c>
      <c r="J101" s="2" t="s">
        <v>488</v>
      </c>
      <c r="K101" s="2" t="s">
        <v>153</v>
      </c>
      <c r="L101" s="3" t="s">
        <v>220</v>
      </c>
    </row>
    <row r="102" spans="1:28" ht="58.2" thickBot="1">
      <c r="A102" s="76" t="s">
        <v>222</v>
      </c>
      <c r="B102" s="115" t="s">
        <v>491</v>
      </c>
      <c r="C102" s="37" t="s">
        <v>219</v>
      </c>
      <c r="D102" s="35">
        <v>0.95</v>
      </c>
      <c r="E102" s="36">
        <v>0.75</v>
      </c>
      <c r="F102" s="36">
        <v>0.46</v>
      </c>
      <c r="G102" s="36">
        <v>0.3</v>
      </c>
      <c r="H102" s="36">
        <v>0.15</v>
      </c>
      <c r="I102" s="36">
        <v>0</v>
      </c>
      <c r="J102" s="36">
        <v>0</v>
      </c>
      <c r="K102" s="36">
        <v>0.12</v>
      </c>
      <c r="L102" s="37">
        <v>0</v>
      </c>
    </row>
    <row r="103" spans="1:28" ht="15" thickBot="1"/>
    <row r="104" spans="1:28" ht="15" thickBot="1">
      <c r="A104" s="19"/>
      <c r="B104" s="23" t="s">
        <v>0</v>
      </c>
      <c r="C104" s="24" t="s">
        <v>1</v>
      </c>
      <c r="D104" s="23" t="s">
        <v>184</v>
      </c>
      <c r="E104" s="22" t="s">
        <v>185</v>
      </c>
      <c r="F104" s="24" t="s">
        <v>186</v>
      </c>
    </row>
    <row r="105" spans="1:28" ht="15" thickBot="1">
      <c r="A105" s="76" t="s">
        <v>427</v>
      </c>
      <c r="B105" s="108" t="s">
        <v>492</v>
      </c>
      <c r="C105" s="80" t="s">
        <v>219</v>
      </c>
      <c r="D105" s="35">
        <v>1</v>
      </c>
      <c r="E105" s="36">
        <v>0.49726368996047077</v>
      </c>
      <c r="F105" s="37">
        <v>1</v>
      </c>
    </row>
    <row r="106" spans="1:28" ht="15" thickBot="1"/>
    <row r="107" spans="1:28" ht="15" thickBot="1">
      <c r="A107" s="19"/>
      <c r="B107" s="1" t="s">
        <v>0</v>
      </c>
      <c r="C107" s="3" t="s">
        <v>1</v>
      </c>
      <c r="D107" s="23" t="s">
        <v>163</v>
      </c>
      <c r="E107" s="22" t="s">
        <v>164</v>
      </c>
      <c r="F107" s="22" t="s">
        <v>165</v>
      </c>
      <c r="G107" s="22" t="s">
        <v>166</v>
      </c>
      <c r="H107" s="22" t="s">
        <v>167</v>
      </c>
      <c r="I107" s="22" t="s">
        <v>168</v>
      </c>
      <c r="J107" s="22" t="s">
        <v>169</v>
      </c>
      <c r="K107" s="22" t="s">
        <v>170</v>
      </c>
      <c r="L107" s="22" t="s">
        <v>171</v>
      </c>
      <c r="M107" s="22" t="s">
        <v>172</v>
      </c>
      <c r="N107" s="22" t="s">
        <v>173</v>
      </c>
      <c r="O107" s="22" t="s">
        <v>174</v>
      </c>
      <c r="P107" s="22" t="s">
        <v>175</v>
      </c>
      <c r="Q107" s="22" t="s">
        <v>176</v>
      </c>
      <c r="R107" s="22" t="s">
        <v>177</v>
      </c>
      <c r="S107" s="22" t="s">
        <v>178</v>
      </c>
      <c r="T107" s="22" t="s">
        <v>179</v>
      </c>
      <c r="U107" s="22" t="s">
        <v>180</v>
      </c>
      <c r="V107" s="24" t="s">
        <v>181</v>
      </c>
    </row>
    <row r="108" spans="1:28" ht="14.4" customHeight="1" thickBot="1">
      <c r="A108" s="76" t="s">
        <v>428</v>
      </c>
      <c r="B108" s="98" t="s">
        <v>492</v>
      </c>
      <c r="C108" s="79" t="s">
        <v>219</v>
      </c>
      <c r="D108" s="35">
        <v>1</v>
      </c>
      <c r="E108" s="36">
        <v>1</v>
      </c>
      <c r="F108" s="36">
        <v>1</v>
      </c>
      <c r="G108" s="36">
        <v>1</v>
      </c>
      <c r="H108" s="36">
        <v>1</v>
      </c>
      <c r="I108" s="36">
        <v>1</v>
      </c>
      <c r="J108" s="36">
        <v>1</v>
      </c>
      <c r="K108" s="36">
        <v>1</v>
      </c>
      <c r="L108" s="36">
        <v>1</v>
      </c>
      <c r="M108" s="36">
        <v>1</v>
      </c>
      <c r="N108" s="36">
        <v>1</v>
      </c>
      <c r="O108" s="36">
        <v>1</v>
      </c>
      <c r="P108" s="36">
        <v>0.4868773735271959</v>
      </c>
      <c r="Q108" s="36">
        <v>1</v>
      </c>
      <c r="R108" s="36">
        <v>1</v>
      </c>
      <c r="S108" s="36">
        <v>1</v>
      </c>
      <c r="T108" s="36">
        <v>1</v>
      </c>
      <c r="U108" s="36">
        <v>1</v>
      </c>
      <c r="V108" s="37">
        <v>1</v>
      </c>
    </row>
    <row r="109" spans="1:28" ht="15" thickBot="1"/>
    <row r="110" spans="1:28" ht="15" thickBot="1">
      <c r="B110" s="1" t="s">
        <v>0</v>
      </c>
      <c r="C110" s="3" t="s">
        <v>1</v>
      </c>
      <c r="D110" s="24" t="s">
        <v>136</v>
      </c>
    </row>
    <row r="111" spans="1:28" ht="29.4" thickBot="1">
      <c r="A111" s="26" t="s">
        <v>429</v>
      </c>
      <c r="B111" s="115" t="s">
        <v>492</v>
      </c>
      <c r="C111" s="37" t="s">
        <v>219</v>
      </c>
      <c r="D111" s="53">
        <v>1.046</v>
      </c>
    </row>
    <row r="113" spans="1:5" ht="15" thickBot="1">
      <c r="A113" s="19" t="s">
        <v>223</v>
      </c>
    </row>
    <row r="114" spans="1:5" ht="15" thickBot="1">
      <c r="B114" s="1" t="s">
        <v>0</v>
      </c>
      <c r="C114" s="2" t="s">
        <v>1</v>
      </c>
      <c r="D114" s="23" t="s">
        <v>224</v>
      </c>
      <c r="E114" s="24" t="s">
        <v>225</v>
      </c>
    </row>
    <row r="115" spans="1:5">
      <c r="A115" s="29" t="s">
        <v>430</v>
      </c>
      <c r="B115" s="142" t="s">
        <v>493</v>
      </c>
      <c r="C115" s="10" t="s">
        <v>219</v>
      </c>
      <c r="D115" s="4">
        <v>85</v>
      </c>
      <c r="E115" s="10">
        <v>110</v>
      </c>
    </row>
    <row r="116" spans="1:5">
      <c r="A116" s="31" t="s">
        <v>431</v>
      </c>
      <c r="B116" s="143"/>
      <c r="C116" s="12" t="s">
        <v>219</v>
      </c>
      <c r="D116" s="11">
        <v>37</v>
      </c>
      <c r="E116" s="12">
        <v>56</v>
      </c>
    </row>
    <row r="117" spans="1:5">
      <c r="A117" s="31" t="s">
        <v>226</v>
      </c>
      <c r="B117" s="143"/>
      <c r="C117" s="12" t="s">
        <v>219</v>
      </c>
      <c r="D117" s="11">
        <v>33</v>
      </c>
      <c r="E117" s="12">
        <v>66</v>
      </c>
    </row>
    <row r="118" spans="1:5">
      <c r="A118" s="31" t="s">
        <v>227</v>
      </c>
      <c r="B118" s="143"/>
      <c r="C118" s="12" t="s">
        <v>219</v>
      </c>
      <c r="D118" s="11">
        <v>103</v>
      </c>
      <c r="E118" s="12">
        <v>108</v>
      </c>
    </row>
    <row r="119" spans="1:5">
      <c r="A119" s="31" t="s">
        <v>228</v>
      </c>
      <c r="B119" s="143"/>
      <c r="C119" s="12" t="s">
        <v>219</v>
      </c>
      <c r="D119" s="11">
        <v>93</v>
      </c>
      <c r="E119" s="12">
        <v>100</v>
      </c>
    </row>
    <row r="120" spans="1:5">
      <c r="A120" s="31" t="s">
        <v>432</v>
      </c>
      <c r="B120" s="143"/>
      <c r="C120" s="12" t="s">
        <v>219</v>
      </c>
      <c r="D120" s="11">
        <v>33</v>
      </c>
      <c r="E120" s="12">
        <v>59</v>
      </c>
    </row>
    <row r="121" spans="1:5">
      <c r="A121" s="31" t="s">
        <v>433</v>
      </c>
      <c r="B121" s="143"/>
      <c r="C121" s="12" t="s">
        <v>219</v>
      </c>
      <c r="D121" s="11">
        <v>33</v>
      </c>
      <c r="E121" s="12">
        <v>43</v>
      </c>
    </row>
    <row r="122" spans="1:5">
      <c r="A122" s="31" t="s">
        <v>229</v>
      </c>
      <c r="B122" s="143"/>
      <c r="C122" s="12" t="s">
        <v>219</v>
      </c>
      <c r="D122" s="11">
        <v>75</v>
      </c>
      <c r="E122" s="12">
        <v>110</v>
      </c>
    </row>
    <row r="123" spans="1:5" ht="15" thickBot="1">
      <c r="A123" s="30" t="s">
        <v>230</v>
      </c>
      <c r="B123" s="144"/>
      <c r="C123" s="15" t="s">
        <v>219</v>
      </c>
      <c r="D123" s="13">
        <v>1</v>
      </c>
      <c r="E123" s="15">
        <v>95</v>
      </c>
    </row>
  </sheetData>
  <mergeCells count="10">
    <mergeCell ref="B115:B123"/>
    <mergeCell ref="B5:B10"/>
    <mergeCell ref="B14:B18"/>
    <mergeCell ref="B96:B98"/>
    <mergeCell ref="B90:B92"/>
    <mergeCell ref="B28:B46"/>
    <mergeCell ref="B50:B68"/>
    <mergeCell ref="B22:B24"/>
    <mergeCell ref="B76:B77"/>
    <mergeCell ref="B85:B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4234-8EE5-42C4-A366-2FF670DA298D}">
  <dimension ref="A1:AM178"/>
  <sheetViews>
    <sheetView zoomScaleNormal="100" workbookViewId="0"/>
  </sheetViews>
  <sheetFormatPr baseColWidth="10" defaultColWidth="11.44140625" defaultRowHeight="14.4"/>
  <cols>
    <col min="1" max="1" width="57.21875" customWidth="1"/>
    <col min="2" max="2" width="15.5546875" customWidth="1"/>
    <col min="3" max="3" width="20.77734375" customWidth="1"/>
    <col min="4" max="4" width="27.5546875" customWidth="1"/>
    <col min="5" max="5" width="27.88671875" customWidth="1"/>
    <col min="6" max="6" width="22.88671875" customWidth="1"/>
    <col min="7" max="7" width="16" bestFit="1" customWidth="1"/>
    <col min="8" max="8" width="17.88671875" customWidth="1"/>
    <col min="9" max="9" width="19.33203125" customWidth="1"/>
    <col min="10" max="10" width="13.6640625" bestFit="1" customWidth="1"/>
    <col min="11" max="11" width="12.33203125" customWidth="1"/>
    <col min="13" max="14" width="14.5546875" customWidth="1"/>
    <col min="15" max="15" width="16.88671875" customWidth="1"/>
    <col min="16" max="16" width="16.33203125" customWidth="1"/>
    <col min="19" max="19" width="16.109375" customWidth="1"/>
    <col min="20" max="20" width="18" customWidth="1"/>
  </cols>
  <sheetData>
    <row r="1" spans="1:12" ht="25.8">
      <c r="A1" s="114" t="s">
        <v>508</v>
      </c>
    </row>
    <row r="3" spans="1:12" ht="15" thickBot="1">
      <c r="A3" s="19" t="s">
        <v>437</v>
      </c>
      <c r="B3" s="81"/>
    </row>
    <row r="4" spans="1:12" ht="15" thickBot="1">
      <c r="B4" s="1" t="s">
        <v>0</v>
      </c>
      <c r="C4" s="3" t="s">
        <v>1</v>
      </c>
      <c r="D4" s="3" t="s">
        <v>136</v>
      </c>
    </row>
    <row r="5" spans="1:12">
      <c r="A5" s="16" t="s">
        <v>236</v>
      </c>
      <c r="B5" s="154" t="s">
        <v>494</v>
      </c>
      <c r="C5" s="42" t="s">
        <v>237</v>
      </c>
      <c r="D5" s="42">
        <v>27.8</v>
      </c>
    </row>
    <row r="6" spans="1:12">
      <c r="A6" s="17" t="s">
        <v>238</v>
      </c>
      <c r="B6" s="155"/>
      <c r="C6" s="44" t="s">
        <v>137</v>
      </c>
      <c r="D6" s="44">
        <v>0.42799999999999999</v>
      </c>
    </row>
    <row r="7" spans="1:12">
      <c r="A7" s="17" t="s">
        <v>239</v>
      </c>
      <c r="B7" s="155"/>
      <c r="C7" s="44" t="s">
        <v>237</v>
      </c>
      <c r="D7" s="44">
        <v>10.6</v>
      </c>
      <c r="L7" s="82"/>
    </row>
    <row r="8" spans="1:12">
      <c r="A8" s="17" t="s">
        <v>240</v>
      </c>
      <c r="B8" s="155"/>
      <c r="C8" s="44" t="s">
        <v>241</v>
      </c>
      <c r="D8" s="44">
        <v>85.177099999999996</v>
      </c>
    </row>
    <row r="9" spans="1:12">
      <c r="A9" s="17" t="s">
        <v>242</v>
      </c>
      <c r="B9" s="155"/>
      <c r="C9" s="44" t="s">
        <v>243</v>
      </c>
      <c r="D9" s="44">
        <v>-0.01</v>
      </c>
    </row>
    <row r="10" spans="1:12">
      <c r="A10" s="17" t="s">
        <v>244</v>
      </c>
      <c r="B10" s="155"/>
      <c r="C10" s="44" t="s">
        <v>137</v>
      </c>
      <c r="D10" s="44">
        <v>1</v>
      </c>
    </row>
    <row r="11" spans="1:12">
      <c r="A11" s="17" t="s">
        <v>245</v>
      </c>
      <c r="B11" s="155"/>
      <c r="C11" s="44" t="s">
        <v>137</v>
      </c>
      <c r="D11" s="44">
        <v>0.42</v>
      </c>
      <c r="L11" s="83"/>
    </row>
    <row r="12" spans="1:12">
      <c r="A12" s="17" t="s">
        <v>246</v>
      </c>
      <c r="B12" s="155"/>
      <c r="C12" s="44" t="s">
        <v>243</v>
      </c>
      <c r="D12" s="44">
        <v>3.0000000000000001E-3</v>
      </c>
    </row>
    <row r="13" spans="1:12">
      <c r="A13" s="17" t="s">
        <v>247</v>
      </c>
      <c r="B13" s="155"/>
      <c r="C13" s="44" t="s">
        <v>137</v>
      </c>
      <c r="D13" s="44">
        <v>3.92</v>
      </c>
    </row>
    <row r="14" spans="1:12">
      <c r="A14" s="17" t="s">
        <v>248</v>
      </c>
      <c r="B14" s="155"/>
      <c r="C14" s="44" t="s">
        <v>137</v>
      </c>
      <c r="D14" s="44">
        <v>9.6999999999999993</v>
      </c>
    </row>
    <row r="15" spans="1:12">
      <c r="A15" s="17" t="s">
        <v>249</v>
      </c>
      <c r="B15" s="155"/>
      <c r="C15" s="44" t="s">
        <v>250</v>
      </c>
      <c r="D15" s="44">
        <v>10.237299999999999</v>
      </c>
    </row>
    <row r="16" spans="1:12">
      <c r="A16" s="17" t="s">
        <v>251</v>
      </c>
      <c r="B16" s="155"/>
      <c r="C16" s="44" t="s">
        <v>237</v>
      </c>
      <c r="D16" s="44">
        <v>1</v>
      </c>
    </row>
    <row r="17" spans="1:8">
      <c r="A17" s="17" t="s">
        <v>252</v>
      </c>
      <c r="B17" s="155"/>
      <c r="C17" s="44" t="s">
        <v>253</v>
      </c>
      <c r="D17" s="44">
        <v>100</v>
      </c>
    </row>
    <row r="18" spans="1:8">
      <c r="A18" s="17" t="s">
        <v>254</v>
      </c>
      <c r="B18" s="155"/>
      <c r="C18" s="44" t="s">
        <v>253</v>
      </c>
      <c r="D18" s="44">
        <v>300</v>
      </c>
    </row>
    <row r="19" spans="1:8">
      <c r="A19" s="17" t="s">
        <v>255</v>
      </c>
      <c r="B19" s="155"/>
      <c r="C19" s="44" t="s">
        <v>253</v>
      </c>
      <c r="D19" s="44">
        <v>300</v>
      </c>
    </row>
    <row r="20" spans="1:8">
      <c r="A20" s="17" t="s">
        <v>256</v>
      </c>
      <c r="B20" s="155"/>
      <c r="C20" s="44" t="s">
        <v>253</v>
      </c>
      <c r="D20" s="44">
        <v>1300</v>
      </c>
    </row>
    <row r="21" spans="1:8">
      <c r="A21" s="17" t="s">
        <v>257</v>
      </c>
      <c r="B21" s="155"/>
      <c r="C21" s="44" t="s">
        <v>253</v>
      </c>
      <c r="D21" s="44">
        <v>1800</v>
      </c>
    </row>
    <row r="22" spans="1:8">
      <c r="A22" s="17" t="s">
        <v>258</v>
      </c>
      <c r="B22" s="155"/>
      <c r="C22" s="44" t="s">
        <v>137</v>
      </c>
      <c r="D22" s="44">
        <v>1</v>
      </c>
    </row>
    <row r="23" spans="1:8">
      <c r="A23" s="17" t="s">
        <v>259</v>
      </c>
      <c r="B23" s="155"/>
      <c r="C23" s="44" t="s">
        <v>260</v>
      </c>
      <c r="D23" s="44">
        <v>4400</v>
      </c>
      <c r="H23" s="84"/>
    </row>
    <row r="24" spans="1:8" ht="28.8">
      <c r="A24" s="17" t="s">
        <v>261</v>
      </c>
      <c r="B24" s="155"/>
      <c r="C24" s="44" t="s">
        <v>262</v>
      </c>
      <c r="D24" s="44">
        <v>2</v>
      </c>
      <c r="E24" s="85"/>
    </row>
    <row r="25" spans="1:8">
      <c r="A25" s="17" t="s">
        <v>263</v>
      </c>
      <c r="B25" s="155"/>
      <c r="C25" s="44" t="s">
        <v>264</v>
      </c>
      <c r="D25" s="44">
        <v>8.0000000000000007E-5</v>
      </c>
      <c r="E25" s="85"/>
    </row>
    <row r="26" spans="1:8">
      <c r="A26" s="17" t="s">
        <v>265</v>
      </c>
      <c r="B26" s="155"/>
      <c r="C26" s="44" t="s">
        <v>264</v>
      </c>
      <c r="D26" s="44">
        <v>8.0000000000000007E-5</v>
      </c>
      <c r="E26" s="85"/>
    </row>
    <row r="27" spans="1:8">
      <c r="A27" s="17" t="s">
        <v>266</v>
      </c>
      <c r="B27" s="155"/>
      <c r="C27" s="44" t="s">
        <v>235</v>
      </c>
      <c r="D27" s="44">
        <f>pre_industrial_value_ppm*2.13</f>
        <v>592.779</v>
      </c>
    </row>
    <row r="28" spans="1:8">
      <c r="A28" s="17" t="s">
        <v>267</v>
      </c>
      <c r="B28" s="155"/>
      <c r="C28" s="44" t="s">
        <v>268</v>
      </c>
      <c r="D28" s="44">
        <v>409.9</v>
      </c>
    </row>
    <row r="29" spans="1:8">
      <c r="A29" s="17" t="s">
        <v>269</v>
      </c>
      <c r="B29" s="155"/>
      <c r="C29" s="44" t="s">
        <v>268</v>
      </c>
      <c r="D29" s="44">
        <v>278.3</v>
      </c>
      <c r="F29" s="86"/>
    </row>
    <row r="30" spans="1:8">
      <c r="A30" s="17" t="s">
        <v>234</v>
      </c>
      <c r="B30" s="155"/>
      <c r="C30" s="44" t="s">
        <v>235</v>
      </c>
      <c r="D30" s="44">
        <v>1200</v>
      </c>
    </row>
    <row r="31" spans="1:8">
      <c r="A31" s="17" t="s">
        <v>365</v>
      </c>
      <c r="B31" s="155"/>
      <c r="C31" s="44" t="s">
        <v>235</v>
      </c>
      <c r="D31" s="44">
        <v>1076.17</v>
      </c>
    </row>
    <row r="32" spans="1:8">
      <c r="A32" s="17" t="s">
        <v>366</v>
      </c>
      <c r="B32" s="155"/>
      <c r="C32" s="44" t="s">
        <v>235</v>
      </c>
      <c r="D32" s="44">
        <v>988.15800000000002</v>
      </c>
    </row>
    <row r="33" spans="1:4">
      <c r="A33" s="17" t="s">
        <v>367</v>
      </c>
      <c r="B33" s="155"/>
      <c r="C33" s="44" t="s">
        <v>250</v>
      </c>
      <c r="D33" s="44">
        <v>10.465199999999999</v>
      </c>
    </row>
    <row r="34" spans="1:4">
      <c r="A34" s="17" t="s">
        <v>254</v>
      </c>
      <c r="B34" s="155"/>
      <c r="C34" s="44" t="s">
        <v>250</v>
      </c>
      <c r="D34" s="44">
        <v>10.42</v>
      </c>
    </row>
    <row r="35" spans="1:4">
      <c r="A35" s="17" t="s">
        <v>255</v>
      </c>
      <c r="B35" s="155"/>
      <c r="C35" s="44" t="s">
        <v>250</v>
      </c>
      <c r="D35" s="44">
        <v>10.36</v>
      </c>
    </row>
    <row r="36" spans="1:4">
      <c r="A36" s="17" t="s">
        <v>256</v>
      </c>
      <c r="B36" s="155"/>
      <c r="C36" s="44" t="s">
        <v>250</v>
      </c>
      <c r="D36" s="44">
        <v>10.2768</v>
      </c>
    </row>
    <row r="37" spans="1:4">
      <c r="A37" s="17" t="s">
        <v>257</v>
      </c>
      <c r="B37" s="155"/>
      <c r="C37" s="44" t="s">
        <v>250</v>
      </c>
      <c r="D37" s="44">
        <v>10.265000000000001</v>
      </c>
    </row>
    <row r="38" spans="1:4">
      <c r="A38" s="17" t="s">
        <v>368</v>
      </c>
      <c r="B38" s="155"/>
      <c r="C38" s="44" t="s">
        <v>262</v>
      </c>
      <c r="D38" s="44">
        <v>0.39500000000000002</v>
      </c>
    </row>
    <row r="39" spans="1:4">
      <c r="A39" s="17" t="s">
        <v>369</v>
      </c>
      <c r="B39" s="155"/>
      <c r="C39" s="44" t="s">
        <v>262</v>
      </c>
      <c r="D39" s="44">
        <v>0.18140000000000001</v>
      </c>
    </row>
    <row r="40" spans="1:4">
      <c r="A40" s="17" t="s">
        <v>370</v>
      </c>
      <c r="B40" s="155"/>
      <c r="C40" s="44" t="s">
        <v>262</v>
      </c>
      <c r="D40" s="44">
        <v>0.1492</v>
      </c>
    </row>
    <row r="41" spans="1:4" ht="15" thickBot="1">
      <c r="A41" s="18" t="s">
        <v>371</v>
      </c>
      <c r="B41" s="156"/>
      <c r="C41" s="43" t="s">
        <v>262</v>
      </c>
      <c r="D41" s="43">
        <v>3.8000000000000002E-4</v>
      </c>
    </row>
    <row r="43" spans="1:4" ht="15" thickBot="1">
      <c r="A43" s="19" t="s">
        <v>444</v>
      </c>
    </row>
    <row r="44" spans="1:4" ht="15" thickBot="1">
      <c r="B44" s="1" t="s">
        <v>0</v>
      </c>
      <c r="C44" s="3" t="s">
        <v>1</v>
      </c>
      <c r="D44" s="3" t="s">
        <v>136</v>
      </c>
    </row>
    <row r="45" spans="1:4">
      <c r="A45" s="29" t="s">
        <v>285</v>
      </c>
      <c r="B45" s="142" t="s">
        <v>495</v>
      </c>
      <c r="C45" s="10" t="s">
        <v>286</v>
      </c>
      <c r="D45" s="67">
        <v>1866.3</v>
      </c>
    </row>
    <row r="46" spans="1:4">
      <c r="A46" s="31" t="s">
        <v>287</v>
      </c>
      <c r="B46" s="143"/>
      <c r="C46" s="12" t="s">
        <v>288</v>
      </c>
      <c r="D46" s="64">
        <f>CH4_reference_conc/0.355</f>
        <v>2054.0845070422538</v>
      </c>
    </row>
    <row r="47" spans="1:4">
      <c r="A47" s="31" t="s">
        <v>289</v>
      </c>
      <c r="B47" s="143"/>
      <c r="C47" s="12" t="s">
        <v>290</v>
      </c>
      <c r="D47" s="64">
        <v>16</v>
      </c>
    </row>
    <row r="48" spans="1:4">
      <c r="A48" s="31" t="s">
        <v>291</v>
      </c>
      <c r="B48" s="143"/>
      <c r="C48" s="12" t="s">
        <v>292</v>
      </c>
      <c r="D48" s="64">
        <v>11.8</v>
      </c>
    </row>
    <row r="49" spans="1:4">
      <c r="A49" s="31" t="s">
        <v>293</v>
      </c>
      <c r="B49" s="143"/>
      <c r="C49" s="12" t="s">
        <v>294</v>
      </c>
      <c r="D49" s="64">
        <v>0.88</v>
      </c>
    </row>
    <row r="50" spans="1:4">
      <c r="A50" s="31" t="s">
        <v>295</v>
      </c>
      <c r="B50" s="143"/>
      <c r="C50" s="12" t="s">
        <v>294</v>
      </c>
      <c r="D50" s="64">
        <v>0.08</v>
      </c>
    </row>
    <row r="51" spans="1:4">
      <c r="A51" s="31" t="s">
        <v>296</v>
      </c>
      <c r="B51" s="143"/>
      <c r="C51" s="12" t="s">
        <v>297</v>
      </c>
      <c r="D51" s="64">
        <v>9.6999999999999993</v>
      </c>
    </row>
    <row r="52" spans="1:4">
      <c r="A52" s="31" t="s">
        <v>298</v>
      </c>
      <c r="B52" s="143"/>
      <c r="C52" s="12" t="s">
        <v>290</v>
      </c>
      <c r="D52" s="64">
        <v>28</v>
      </c>
    </row>
    <row r="53" spans="1:4">
      <c r="A53" s="31" t="s">
        <v>299</v>
      </c>
      <c r="B53" s="143"/>
      <c r="C53" s="12" t="s">
        <v>286</v>
      </c>
      <c r="D53" s="64">
        <v>332.1</v>
      </c>
    </row>
    <row r="54" spans="1:4">
      <c r="A54" s="31" t="s">
        <v>300</v>
      </c>
      <c r="B54" s="143"/>
      <c r="C54" s="12" t="s">
        <v>301</v>
      </c>
      <c r="D54" s="64">
        <v>109</v>
      </c>
    </row>
    <row r="55" spans="1:4">
      <c r="A55" s="31" t="s">
        <v>302</v>
      </c>
      <c r="B55" s="143"/>
      <c r="C55" s="12" t="s">
        <v>303</v>
      </c>
      <c r="D55" s="64">
        <v>85.5</v>
      </c>
    </row>
    <row r="56" spans="1:4">
      <c r="A56" s="31" t="s">
        <v>304</v>
      </c>
      <c r="B56" s="143"/>
      <c r="C56" s="12" t="s">
        <v>301</v>
      </c>
      <c r="D56" s="64">
        <v>50000</v>
      </c>
    </row>
    <row r="57" spans="1:4">
      <c r="A57" s="31" t="s">
        <v>305</v>
      </c>
      <c r="B57" s="143"/>
      <c r="C57" s="12" t="s">
        <v>303</v>
      </c>
      <c r="D57" s="64">
        <v>34</v>
      </c>
    </row>
    <row r="58" spans="1:4">
      <c r="A58" s="31" t="s">
        <v>306</v>
      </c>
      <c r="B58" s="143"/>
      <c r="C58" s="12" t="s">
        <v>290</v>
      </c>
      <c r="D58" s="64">
        <v>88</v>
      </c>
    </row>
    <row r="59" spans="1:4" ht="28.8">
      <c r="A59" s="31" t="s">
        <v>307</v>
      </c>
      <c r="B59" s="143"/>
      <c r="C59" s="12" t="s">
        <v>308</v>
      </c>
      <c r="D59" s="64">
        <v>9.8900000000000002E-2</v>
      </c>
    </row>
    <row r="60" spans="1:4">
      <c r="A60" s="31" t="s">
        <v>309</v>
      </c>
      <c r="B60" s="143"/>
      <c r="C60" s="12" t="s">
        <v>303</v>
      </c>
      <c r="D60" s="64">
        <v>10</v>
      </c>
    </row>
    <row r="61" spans="1:4">
      <c r="A61" s="31" t="s">
        <v>310</v>
      </c>
      <c r="B61" s="143"/>
      <c r="C61" s="12" t="s">
        <v>301</v>
      </c>
      <c r="D61" s="64">
        <v>1000</v>
      </c>
    </row>
    <row r="62" spans="1:4">
      <c r="A62" s="31" t="s">
        <v>311</v>
      </c>
      <c r="B62" s="143"/>
      <c r="C62" s="12" t="s">
        <v>303</v>
      </c>
      <c r="D62" s="64">
        <v>0</v>
      </c>
    </row>
    <row r="63" spans="1:4">
      <c r="A63" s="31" t="s">
        <v>312</v>
      </c>
      <c r="B63" s="143"/>
      <c r="C63" s="12" t="s">
        <v>290</v>
      </c>
      <c r="D63" s="64">
        <v>146</v>
      </c>
    </row>
    <row r="64" spans="1:4" ht="29.4" thickBot="1">
      <c r="A64" s="30" t="s">
        <v>313</v>
      </c>
      <c r="B64" s="144"/>
      <c r="C64" s="15" t="s">
        <v>308</v>
      </c>
      <c r="D64" s="65">
        <v>0.56699999999999995</v>
      </c>
    </row>
    <row r="66" spans="1:6" ht="15" thickBot="1">
      <c r="A66" s="19" t="s">
        <v>438</v>
      </c>
    </row>
    <row r="67" spans="1:6" ht="15" thickBot="1">
      <c r="B67" s="76" t="s">
        <v>0</v>
      </c>
      <c r="C67" s="105" t="s">
        <v>314</v>
      </c>
      <c r="D67" s="105" t="s">
        <v>315</v>
      </c>
      <c r="E67" s="105" t="s">
        <v>316</v>
      </c>
      <c r="F67" s="106" t="s">
        <v>317</v>
      </c>
    </row>
    <row r="68" spans="1:6" ht="15" thickBot="1">
      <c r="A68" s="107" t="s">
        <v>1</v>
      </c>
      <c r="B68" s="54" t="s">
        <v>409</v>
      </c>
      <c r="C68" s="55" t="s">
        <v>303</v>
      </c>
      <c r="D68" s="55" t="s">
        <v>290</v>
      </c>
      <c r="E68" s="55" t="s">
        <v>301</v>
      </c>
      <c r="F68" s="56" t="s">
        <v>308</v>
      </c>
    </row>
    <row r="69" spans="1:6">
      <c r="A69" s="29" t="s">
        <v>318</v>
      </c>
      <c r="B69" s="154" t="s">
        <v>496</v>
      </c>
      <c r="C69" s="25">
        <v>107.6</v>
      </c>
      <c r="D69" s="21">
        <v>102</v>
      </c>
      <c r="E69" s="21">
        <v>14</v>
      </c>
      <c r="F69" s="27">
        <v>0.17</v>
      </c>
    </row>
    <row r="70" spans="1:6">
      <c r="A70" s="31" t="s">
        <v>319</v>
      </c>
      <c r="B70" s="155"/>
      <c r="C70" s="20">
        <v>11.5</v>
      </c>
      <c r="D70" s="9">
        <v>70</v>
      </c>
      <c r="E70" s="9">
        <v>222</v>
      </c>
      <c r="F70" s="12">
        <v>0.18</v>
      </c>
    </row>
    <row r="71" spans="1:6">
      <c r="A71" s="31" t="s">
        <v>320</v>
      </c>
      <c r="B71" s="155"/>
      <c r="C71" s="20">
        <v>0</v>
      </c>
      <c r="D71" s="9">
        <v>52</v>
      </c>
      <c r="E71" s="9">
        <v>5.2</v>
      </c>
      <c r="F71" s="12">
        <v>0.11</v>
      </c>
    </row>
    <row r="72" spans="1:6">
      <c r="A72" s="31" t="s">
        <v>321</v>
      </c>
      <c r="B72" s="155"/>
      <c r="C72" s="20">
        <v>0</v>
      </c>
      <c r="D72" s="9">
        <v>120</v>
      </c>
      <c r="E72" s="9">
        <v>28.2</v>
      </c>
      <c r="F72" s="12">
        <v>0.23</v>
      </c>
    </row>
    <row r="73" spans="1:6">
      <c r="A73" s="31" t="s">
        <v>322</v>
      </c>
      <c r="B73" s="155"/>
      <c r="C73" s="20">
        <v>0</v>
      </c>
      <c r="D73" s="9">
        <v>84</v>
      </c>
      <c r="E73" s="9">
        <v>47.1</v>
      </c>
      <c r="F73" s="12">
        <v>0.16</v>
      </c>
    </row>
    <row r="74" spans="1:6">
      <c r="A74" s="31" t="s">
        <v>323</v>
      </c>
      <c r="B74" s="155"/>
      <c r="C74" s="20">
        <v>0</v>
      </c>
      <c r="D74" s="9">
        <v>66</v>
      </c>
      <c r="E74" s="9">
        <v>1.5</v>
      </c>
      <c r="F74" s="12">
        <v>0.1</v>
      </c>
    </row>
    <row r="75" spans="1:6">
      <c r="A75" s="31" t="s">
        <v>324</v>
      </c>
      <c r="B75" s="155"/>
      <c r="C75" s="20">
        <v>0</v>
      </c>
      <c r="D75" s="9">
        <v>170</v>
      </c>
      <c r="E75" s="9">
        <v>38.9</v>
      </c>
      <c r="F75" s="12">
        <v>0.26</v>
      </c>
    </row>
    <row r="76" spans="1:6">
      <c r="A76" s="31" t="s">
        <v>325</v>
      </c>
      <c r="B76" s="155"/>
      <c r="C76" s="20">
        <v>0</v>
      </c>
      <c r="D76" s="9">
        <v>134</v>
      </c>
      <c r="E76" s="9">
        <v>6.5</v>
      </c>
      <c r="F76" s="12">
        <v>0.24</v>
      </c>
    </row>
    <row r="77" spans="1:6" ht="15" thickBot="1">
      <c r="A77" s="30" t="s">
        <v>326</v>
      </c>
      <c r="B77" s="156"/>
      <c r="C77" s="28">
        <v>0</v>
      </c>
      <c r="D77" s="14">
        <v>252</v>
      </c>
      <c r="E77" s="14">
        <v>16.100000000000001</v>
      </c>
      <c r="F77" s="15">
        <v>0.42</v>
      </c>
    </row>
    <row r="78" spans="1:6">
      <c r="A78" s="97"/>
    </row>
    <row r="79" spans="1:6" ht="15" thickBot="1">
      <c r="A79" s="19" t="s">
        <v>445</v>
      </c>
    </row>
    <row r="80" spans="1:6" ht="15" thickBot="1">
      <c r="B80" s="1" t="s">
        <v>0</v>
      </c>
      <c r="C80" s="3" t="s">
        <v>1</v>
      </c>
      <c r="D80" s="3" t="s">
        <v>136</v>
      </c>
    </row>
    <row r="81" spans="1:6">
      <c r="A81" s="16" t="s">
        <v>328</v>
      </c>
      <c r="B81" s="142" t="s">
        <v>497</v>
      </c>
      <c r="C81" s="10" t="s">
        <v>292</v>
      </c>
      <c r="D81" s="42">
        <v>2200</v>
      </c>
    </row>
    <row r="82" spans="1:6">
      <c r="A82" s="17" t="s">
        <v>329</v>
      </c>
      <c r="B82" s="143"/>
      <c r="C82" s="12" t="s">
        <v>330</v>
      </c>
      <c r="D82" s="44">
        <v>3.5999999999999997E-2</v>
      </c>
    </row>
    <row r="83" spans="1:6">
      <c r="A83" s="17" t="s">
        <v>331</v>
      </c>
      <c r="B83" s="143"/>
      <c r="C83" s="12" t="s">
        <v>332</v>
      </c>
      <c r="D83" s="44">
        <v>729.2</v>
      </c>
      <c r="F83" s="87"/>
    </row>
    <row r="84" spans="1:6">
      <c r="A84" s="17" t="s">
        <v>333</v>
      </c>
      <c r="B84" s="143"/>
      <c r="C84" s="12" t="s">
        <v>334</v>
      </c>
      <c r="D84" s="44">
        <v>1</v>
      </c>
      <c r="F84" s="87"/>
    </row>
    <row r="85" spans="1:6">
      <c r="A85" s="17" t="s">
        <v>335</v>
      </c>
      <c r="B85" s="143"/>
      <c r="C85" s="12" t="s">
        <v>332</v>
      </c>
      <c r="D85" s="44">
        <v>270</v>
      </c>
    </row>
    <row r="86" spans="1:6">
      <c r="A86" s="17" t="s">
        <v>336</v>
      </c>
      <c r="B86" s="143"/>
      <c r="C86" s="12" t="s">
        <v>330</v>
      </c>
      <c r="D86" s="44">
        <v>0.47</v>
      </c>
    </row>
    <row r="87" spans="1:6">
      <c r="A87" s="17" t="s">
        <v>337</v>
      </c>
      <c r="B87" s="143"/>
      <c r="C87" s="12" t="s">
        <v>137</v>
      </c>
      <c r="D87" s="44">
        <v>2.0100000000000001E-5</v>
      </c>
    </row>
    <row r="88" spans="1:6">
      <c r="A88" s="17" t="s">
        <v>338</v>
      </c>
      <c r="B88" s="143"/>
      <c r="C88" s="12" t="s">
        <v>137</v>
      </c>
      <c r="D88" s="44">
        <v>5.3099999999999999E-15</v>
      </c>
    </row>
    <row r="89" spans="1:6">
      <c r="A89" s="17" t="s">
        <v>339</v>
      </c>
      <c r="B89" s="143"/>
      <c r="C89" s="12" t="s">
        <v>137</v>
      </c>
      <c r="D89" s="44">
        <v>0.75</v>
      </c>
    </row>
    <row r="90" spans="1:6">
      <c r="A90" s="17" t="s">
        <v>340</v>
      </c>
      <c r="B90" s="143"/>
      <c r="C90" s="12" t="s">
        <v>137</v>
      </c>
      <c r="D90" s="44">
        <v>1.52</v>
      </c>
    </row>
    <row r="91" spans="1:6">
      <c r="A91" s="17" t="s">
        <v>341</v>
      </c>
      <c r="B91" s="143"/>
      <c r="C91" s="12" t="s">
        <v>330</v>
      </c>
      <c r="D91" s="44">
        <v>0.12</v>
      </c>
    </row>
    <row r="92" spans="1:6">
      <c r="A92" s="17" t="s">
        <v>327</v>
      </c>
      <c r="B92" s="143"/>
      <c r="C92" s="12" t="s">
        <v>303</v>
      </c>
      <c r="D92" s="44">
        <v>0</v>
      </c>
    </row>
    <row r="93" spans="1:6">
      <c r="A93" s="17" t="s">
        <v>342</v>
      </c>
      <c r="B93" s="143"/>
      <c r="C93" s="12" t="s">
        <v>330</v>
      </c>
      <c r="D93" s="44">
        <v>0.47</v>
      </c>
    </row>
    <row r="94" spans="1:6">
      <c r="A94" s="17" t="s">
        <v>343</v>
      </c>
      <c r="B94" s="143"/>
      <c r="C94" s="12" t="s">
        <v>330</v>
      </c>
      <c r="D94" s="44">
        <v>0.05</v>
      </c>
    </row>
    <row r="95" spans="1:6">
      <c r="A95" s="17" t="s">
        <v>344</v>
      </c>
      <c r="B95" s="143"/>
      <c r="C95" s="12" t="s">
        <v>330</v>
      </c>
      <c r="D95" s="44">
        <v>-0.22</v>
      </c>
    </row>
    <row r="96" spans="1:6">
      <c r="A96" s="17" t="s">
        <v>345</v>
      </c>
      <c r="B96" s="143"/>
      <c r="C96" s="12" t="s">
        <v>330</v>
      </c>
      <c r="D96" s="44">
        <v>-0.84</v>
      </c>
    </row>
    <row r="97" spans="1:4">
      <c r="A97" s="17" t="s">
        <v>346</v>
      </c>
      <c r="B97" s="143"/>
      <c r="C97" s="12" t="s">
        <v>330</v>
      </c>
      <c r="D97" s="44">
        <v>-0.2</v>
      </c>
    </row>
    <row r="98" spans="1:4">
      <c r="A98" s="17" t="s">
        <v>347</v>
      </c>
      <c r="B98" s="143"/>
      <c r="C98" s="12" t="s">
        <v>330</v>
      </c>
      <c r="D98" s="44">
        <v>0.08</v>
      </c>
    </row>
    <row r="99" spans="1:4">
      <c r="A99" s="17" t="s">
        <v>348</v>
      </c>
      <c r="B99" s="143"/>
      <c r="C99" s="12" t="s">
        <v>330</v>
      </c>
      <c r="D99" s="44">
        <v>0.06</v>
      </c>
    </row>
    <row r="100" spans="1:4" ht="15" thickBot="1">
      <c r="A100" s="18" t="s">
        <v>373</v>
      </c>
      <c r="B100" s="144"/>
      <c r="C100" s="15" t="s">
        <v>330</v>
      </c>
      <c r="D100" s="43">
        <v>0.36</v>
      </c>
    </row>
    <row r="101" spans="1:4">
      <c r="A101" s="88"/>
      <c r="B101" s="85"/>
      <c r="C101" s="96"/>
    </row>
    <row r="102" spans="1:4" ht="15" thickBot="1">
      <c r="A102" s="19" t="s">
        <v>441</v>
      </c>
    </row>
    <row r="103" spans="1:4" ht="15" thickBot="1">
      <c r="B103" s="1" t="s">
        <v>0</v>
      </c>
      <c r="C103" s="3" t="s">
        <v>1</v>
      </c>
      <c r="D103" s="78" t="s">
        <v>136</v>
      </c>
    </row>
    <row r="104" spans="1:4">
      <c r="A104" s="29" t="s">
        <v>140</v>
      </c>
      <c r="B104" s="142" t="s">
        <v>498</v>
      </c>
      <c r="C104" s="10" t="s">
        <v>219</v>
      </c>
      <c r="D104" s="42">
        <v>1</v>
      </c>
    </row>
    <row r="105" spans="1:4">
      <c r="A105" s="31" t="s">
        <v>142</v>
      </c>
      <c r="B105" s="143"/>
      <c r="C105" s="12" t="s">
        <v>219</v>
      </c>
      <c r="D105" s="44">
        <v>27.9</v>
      </c>
    </row>
    <row r="106" spans="1:4">
      <c r="A106" s="31" t="s">
        <v>144</v>
      </c>
      <c r="B106" s="143"/>
      <c r="C106" s="12" t="s">
        <v>219</v>
      </c>
      <c r="D106" s="44">
        <v>273</v>
      </c>
    </row>
    <row r="107" spans="1:4">
      <c r="A107" s="31" t="s">
        <v>372</v>
      </c>
      <c r="B107" s="143"/>
      <c r="C107" s="12" t="s">
        <v>219</v>
      </c>
      <c r="D107" s="44">
        <v>7380</v>
      </c>
    </row>
    <row r="108" spans="1:4">
      <c r="A108" s="31" t="s">
        <v>146</v>
      </c>
      <c r="B108" s="143"/>
      <c r="C108" s="12" t="s">
        <v>219</v>
      </c>
      <c r="D108" s="44">
        <v>24300</v>
      </c>
    </row>
    <row r="109" spans="1:4">
      <c r="A109" s="31" t="s">
        <v>318</v>
      </c>
      <c r="B109" s="143"/>
      <c r="C109" s="12" t="s">
        <v>219</v>
      </c>
      <c r="D109" s="44">
        <v>1530</v>
      </c>
    </row>
    <row r="110" spans="1:4">
      <c r="A110" s="31" t="s">
        <v>319</v>
      </c>
      <c r="B110" s="143"/>
      <c r="C110" s="12" t="s">
        <v>219</v>
      </c>
      <c r="D110" s="44">
        <v>12400</v>
      </c>
    </row>
    <row r="111" spans="1:4">
      <c r="A111" s="31" t="s">
        <v>320</v>
      </c>
      <c r="B111" s="143"/>
      <c r="C111" s="12" t="s">
        <v>219</v>
      </c>
      <c r="D111" s="44">
        <v>677</v>
      </c>
    </row>
    <row r="112" spans="1:4">
      <c r="A112" s="31" t="s">
        <v>321</v>
      </c>
      <c r="B112" s="143"/>
      <c r="C112" s="12" t="s">
        <v>219</v>
      </c>
      <c r="D112" s="44">
        <v>3170</v>
      </c>
    </row>
    <row r="113" spans="1:37">
      <c r="A113" s="31" t="s">
        <v>322</v>
      </c>
      <c r="B113" s="143"/>
      <c r="C113" s="12" t="s">
        <v>219</v>
      </c>
      <c r="D113" s="44">
        <v>4800</v>
      </c>
    </row>
    <row r="114" spans="1:37">
      <c r="A114" s="31" t="s">
        <v>323</v>
      </c>
      <c r="B114" s="143"/>
      <c r="C114" s="12" t="s">
        <v>219</v>
      </c>
      <c r="D114" s="44">
        <v>138</v>
      </c>
    </row>
    <row r="115" spans="1:37">
      <c r="A115" s="31" t="s">
        <v>324</v>
      </c>
      <c r="B115" s="143"/>
      <c r="C115" s="12" t="s">
        <v>219</v>
      </c>
      <c r="D115" s="44">
        <v>3350</v>
      </c>
    </row>
    <row r="116" spans="1:37">
      <c r="A116" s="31" t="s">
        <v>325</v>
      </c>
      <c r="B116" s="143"/>
      <c r="C116" s="12" t="s">
        <v>219</v>
      </c>
      <c r="D116" s="44">
        <v>716</v>
      </c>
    </row>
    <row r="117" spans="1:37" ht="15" thickBot="1">
      <c r="A117" s="30" t="s">
        <v>326</v>
      </c>
      <c r="B117" s="144"/>
      <c r="C117" s="15" t="s">
        <v>219</v>
      </c>
      <c r="D117" s="43">
        <v>1650</v>
      </c>
    </row>
    <row r="119" spans="1:37" ht="15" thickBot="1">
      <c r="A119" s="19" t="s">
        <v>446</v>
      </c>
    </row>
    <row r="120" spans="1:37" ht="15" thickBot="1">
      <c r="B120" s="1" t="s">
        <v>0</v>
      </c>
      <c r="C120" s="3" t="s">
        <v>1</v>
      </c>
      <c r="D120" s="41" t="s">
        <v>136</v>
      </c>
    </row>
    <row r="121" spans="1:37">
      <c r="A121" s="16" t="s">
        <v>270</v>
      </c>
      <c r="B121" s="142" t="s">
        <v>499</v>
      </c>
      <c r="C121" s="10" t="s">
        <v>271</v>
      </c>
      <c r="D121" s="42">
        <v>5.6697899999999999</v>
      </c>
    </row>
    <row r="122" spans="1:37">
      <c r="A122" s="17" t="s">
        <v>272</v>
      </c>
      <c r="B122" s="143"/>
      <c r="C122" s="12" t="s">
        <v>137</v>
      </c>
      <c r="D122" s="44">
        <v>1</v>
      </c>
    </row>
    <row r="123" spans="1:37" ht="28.8">
      <c r="A123" s="17" t="s">
        <v>273</v>
      </c>
      <c r="B123" s="143"/>
      <c r="C123" s="12" t="s">
        <v>274</v>
      </c>
      <c r="D123" s="44">
        <v>1.23</v>
      </c>
    </row>
    <row r="124" spans="1:37">
      <c r="A124" s="17" t="s">
        <v>275</v>
      </c>
      <c r="B124" s="143"/>
      <c r="C124" s="12" t="s">
        <v>262</v>
      </c>
      <c r="D124" s="44">
        <f>1.09</f>
        <v>1.0900000000000001</v>
      </c>
    </row>
    <row r="125" spans="1:37">
      <c r="A125" s="17" t="s">
        <v>276</v>
      </c>
      <c r="B125" s="143"/>
      <c r="C125" s="12" t="s">
        <v>277</v>
      </c>
      <c r="D125" s="44">
        <v>510000000000000</v>
      </c>
    </row>
    <row r="126" spans="1:37">
      <c r="A126" s="17" t="s">
        <v>278</v>
      </c>
      <c r="B126" s="143"/>
      <c r="C126" s="12" t="s">
        <v>253</v>
      </c>
      <c r="D126" s="44">
        <v>8.4</v>
      </c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</row>
    <row r="127" spans="1:37">
      <c r="A127" s="17" t="s">
        <v>279</v>
      </c>
      <c r="B127" s="143"/>
      <c r="C127" s="12" t="s">
        <v>280</v>
      </c>
      <c r="D127" s="44">
        <v>0.29199999999999998</v>
      </c>
    </row>
    <row r="128" spans="1:37">
      <c r="A128" s="17" t="s">
        <v>281</v>
      </c>
      <c r="B128" s="143"/>
      <c r="C128" s="12" t="s">
        <v>282</v>
      </c>
      <c r="D128" s="44">
        <v>4186</v>
      </c>
    </row>
    <row r="129" spans="1:4" ht="15" thickBot="1">
      <c r="A129" s="18" t="s">
        <v>283</v>
      </c>
      <c r="B129" s="144"/>
      <c r="C129" s="15" t="s">
        <v>284</v>
      </c>
      <c r="D129" s="43">
        <v>1000</v>
      </c>
    </row>
    <row r="131" spans="1:4" ht="15" thickBot="1">
      <c r="A131" s="19" t="s">
        <v>439</v>
      </c>
    </row>
    <row r="132" spans="1:4" ht="15" thickBot="1">
      <c r="B132" s="1" t="s">
        <v>0</v>
      </c>
      <c r="C132" s="3" t="s">
        <v>1</v>
      </c>
      <c r="D132" s="3" t="s">
        <v>136</v>
      </c>
    </row>
    <row r="133" spans="1:4">
      <c r="A133" s="29" t="s">
        <v>350</v>
      </c>
      <c r="B133" s="142" t="s">
        <v>500</v>
      </c>
      <c r="C133" s="10" t="s">
        <v>349</v>
      </c>
      <c r="D133" s="42">
        <v>8.5541</v>
      </c>
    </row>
    <row r="134" spans="1:4">
      <c r="A134" s="31" t="s">
        <v>351</v>
      </c>
      <c r="B134" s="143"/>
      <c r="C134" s="12" t="s">
        <v>352</v>
      </c>
      <c r="D134" s="44">
        <v>1.73E-3</v>
      </c>
    </row>
    <row r="135" spans="1:4">
      <c r="A135" s="31" t="s">
        <v>353</v>
      </c>
      <c r="B135" s="143"/>
      <c r="C135" s="12" t="s">
        <v>354</v>
      </c>
      <c r="D135" s="44">
        <v>1.3263999999999999E-6</v>
      </c>
    </row>
    <row r="136" spans="1:4" ht="15" thickBot="1">
      <c r="A136" s="30" t="s">
        <v>355</v>
      </c>
      <c r="B136" s="144"/>
      <c r="C136" s="15" t="s">
        <v>356</v>
      </c>
      <c r="D136" s="43">
        <v>4.4943000000000002E-10</v>
      </c>
    </row>
    <row r="138" spans="1:4" ht="15" thickBot="1">
      <c r="A138" s="19" t="s">
        <v>440</v>
      </c>
    </row>
    <row r="139" spans="1:4" ht="15" thickBot="1">
      <c r="B139" s="23" t="s">
        <v>0</v>
      </c>
      <c r="C139" s="24" t="s">
        <v>1</v>
      </c>
      <c r="D139" s="78" t="s">
        <v>136</v>
      </c>
    </row>
    <row r="140" spans="1:4">
      <c r="A140" s="29" t="s">
        <v>357</v>
      </c>
      <c r="B140" s="142" t="s">
        <v>501</v>
      </c>
      <c r="C140" s="27" t="s">
        <v>358</v>
      </c>
      <c r="D140" s="77">
        <v>5.6</v>
      </c>
    </row>
    <row r="141" spans="1:4">
      <c r="A141" s="31" t="s">
        <v>359</v>
      </c>
      <c r="B141" s="143"/>
      <c r="C141" s="12" t="s">
        <v>262</v>
      </c>
      <c r="D141" s="44">
        <v>0.58499999999999996</v>
      </c>
    </row>
    <row r="142" spans="1:4">
      <c r="A142" s="31" t="s">
        <v>360</v>
      </c>
      <c r="B142" s="143"/>
      <c r="C142" s="12" t="s">
        <v>262</v>
      </c>
      <c r="D142" s="44">
        <v>-0.41</v>
      </c>
    </row>
    <row r="143" spans="1:4">
      <c r="A143" s="31" t="s">
        <v>361</v>
      </c>
      <c r="B143" s="143"/>
      <c r="C143" s="12" t="s">
        <v>362</v>
      </c>
      <c r="D143" s="44">
        <v>-100</v>
      </c>
    </row>
    <row r="144" spans="1:4" ht="15" thickBot="1">
      <c r="A144" s="30" t="s">
        <v>363</v>
      </c>
      <c r="B144" s="144"/>
      <c r="C144" s="15" t="s">
        <v>364</v>
      </c>
      <c r="D144" s="43">
        <v>230</v>
      </c>
    </row>
    <row r="146" spans="1:34" ht="15" thickBot="1">
      <c r="A146" s="19" t="s">
        <v>374</v>
      </c>
    </row>
    <row r="147" spans="1:34" ht="15" thickBot="1">
      <c r="B147" s="1" t="s">
        <v>0</v>
      </c>
      <c r="C147" s="3" t="s">
        <v>1</v>
      </c>
      <c r="D147" s="41" t="s">
        <v>136</v>
      </c>
    </row>
    <row r="148" spans="1:34">
      <c r="A148" s="16" t="s">
        <v>375</v>
      </c>
      <c r="B148" s="142" t="s">
        <v>502</v>
      </c>
      <c r="C148" s="10" t="s">
        <v>376</v>
      </c>
      <c r="D148" s="42">
        <v>0.27272727200000002</v>
      </c>
    </row>
    <row r="149" spans="1:34">
      <c r="A149" s="17" t="s">
        <v>377</v>
      </c>
      <c r="B149" s="143"/>
      <c r="C149" s="12" t="s">
        <v>378</v>
      </c>
      <c r="D149" s="44">
        <f>16/12</f>
        <v>1.3333333333333333</v>
      </c>
    </row>
    <row r="150" spans="1:34">
      <c r="A150" s="17" t="s">
        <v>379</v>
      </c>
      <c r="B150" s="143"/>
      <c r="C150" s="12" t="s">
        <v>380</v>
      </c>
      <c r="D150" s="44">
        <v>1</v>
      </c>
    </row>
    <row r="151" spans="1:34">
      <c r="A151" s="17" t="s">
        <v>381</v>
      </c>
      <c r="B151" s="143"/>
      <c r="C151" s="12" t="s">
        <v>382</v>
      </c>
      <c r="D151" s="44">
        <v>1000</v>
      </c>
      <c r="E151" s="90"/>
      <c r="F151" s="91"/>
      <c r="G151" s="91"/>
    </row>
    <row r="152" spans="1:34">
      <c r="A152" s="17" t="s">
        <v>383</v>
      </c>
      <c r="B152" s="143"/>
      <c r="C152" s="12" t="s">
        <v>282</v>
      </c>
      <c r="D152" s="44">
        <v>4186</v>
      </c>
      <c r="E152" s="90"/>
      <c r="F152" s="91"/>
      <c r="G152" s="91"/>
    </row>
    <row r="153" spans="1:34">
      <c r="A153" s="17" t="s">
        <v>384</v>
      </c>
      <c r="B153" s="143"/>
      <c r="C153" s="12" t="s">
        <v>385</v>
      </c>
      <c r="D153" s="44">
        <v>365</v>
      </c>
    </row>
    <row r="154" spans="1:34">
      <c r="A154" s="17" t="s">
        <v>386</v>
      </c>
      <c r="B154" s="143"/>
      <c r="C154" s="12" t="s">
        <v>387</v>
      </c>
      <c r="D154" s="44">
        <f>24*60*60</f>
        <v>86400</v>
      </c>
    </row>
    <row r="155" spans="1:34">
      <c r="A155" s="17" t="s">
        <v>388</v>
      </c>
      <c r="B155" s="143"/>
      <c r="C155" s="12" t="s">
        <v>389</v>
      </c>
      <c r="D155" s="44">
        <v>2.13</v>
      </c>
    </row>
    <row r="156" spans="1:34">
      <c r="A156" s="17" t="s">
        <v>390</v>
      </c>
      <c r="B156" s="143"/>
      <c r="C156" s="12" t="s">
        <v>391</v>
      </c>
      <c r="D156" s="44">
        <v>1000</v>
      </c>
    </row>
    <row r="157" spans="1:34" ht="15" thickBot="1">
      <c r="A157" s="18" t="s">
        <v>392</v>
      </c>
      <c r="B157" s="144"/>
      <c r="C157" s="15" t="s">
        <v>393</v>
      </c>
      <c r="D157" s="43">
        <v>5.6800000000000002E-9</v>
      </c>
    </row>
    <row r="159" spans="1:34" ht="15" thickBot="1">
      <c r="A159" s="19" t="s">
        <v>447</v>
      </c>
      <c r="J159" s="83"/>
    </row>
    <row r="160" spans="1:34" ht="16.2">
      <c r="A160" s="91"/>
      <c r="B160" s="91"/>
      <c r="D160" s="70" t="s">
        <v>394</v>
      </c>
      <c r="E160" s="71" t="s">
        <v>395</v>
      </c>
      <c r="F160" s="71" t="s">
        <v>396</v>
      </c>
      <c r="G160" s="71" t="s">
        <v>397</v>
      </c>
      <c r="H160" s="71" t="s">
        <v>398</v>
      </c>
      <c r="I160" s="71" t="s">
        <v>399</v>
      </c>
      <c r="J160" s="71"/>
      <c r="K160" s="71" t="s">
        <v>400</v>
      </c>
      <c r="L160" s="71" t="s">
        <v>401</v>
      </c>
      <c r="M160" s="71" t="s">
        <v>402</v>
      </c>
      <c r="N160" s="71" t="s">
        <v>403</v>
      </c>
      <c r="O160" s="71" t="s">
        <v>404</v>
      </c>
      <c r="P160" s="71" t="s">
        <v>405</v>
      </c>
      <c r="Q160" s="71" t="s">
        <v>406</v>
      </c>
      <c r="R160" s="71" t="s">
        <v>407</v>
      </c>
      <c r="S160" s="72" t="s">
        <v>408</v>
      </c>
      <c r="AH160" s="92"/>
    </row>
    <row r="161" spans="1:39">
      <c r="A161" s="91"/>
      <c r="B161" s="91"/>
      <c r="D161" s="68" t="s">
        <v>105</v>
      </c>
      <c r="E161" s="66" t="s">
        <v>106</v>
      </c>
      <c r="F161" s="66" t="s">
        <v>107</v>
      </c>
      <c r="G161" s="66" t="s">
        <v>108</v>
      </c>
      <c r="H161" s="66" t="s">
        <v>109</v>
      </c>
      <c r="I161" s="66" t="s">
        <v>110</v>
      </c>
      <c r="J161" s="66">
        <v>1</v>
      </c>
      <c r="K161" s="66" t="s">
        <v>111</v>
      </c>
      <c r="L161" s="66" t="s">
        <v>112</v>
      </c>
      <c r="M161" s="66" t="s">
        <v>113</v>
      </c>
      <c r="N161" s="66" t="s">
        <v>114</v>
      </c>
      <c r="O161" s="66" t="s">
        <v>115</v>
      </c>
      <c r="P161" s="66" t="s">
        <v>116</v>
      </c>
      <c r="Q161" s="66" t="s">
        <v>117</v>
      </c>
      <c r="R161" s="66" t="s">
        <v>118</v>
      </c>
      <c r="S161" s="73" t="s">
        <v>119</v>
      </c>
      <c r="AH161" s="92"/>
    </row>
    <row r="162" spans="1:39" ht="15" thickBot="1">
      <c r="A162" s="91"/>
      <c r="B162" s="91"/>
      <c r="D162" s="69" t="s">
        <v>120</v>
      </c>
      <c r="E162" s="74" t="s">
        <v>121</v>
      </c>
      <c r="F162" s="74" t="s">
        <v>122</v>
      </c>
      <c r="G162" s="74" t="s">
        <v>123</v>
      </c>
      <c r="H162" s="74" t="s">
        <v>124</v>
      </c>
      <c r="I162" s="74" t="s">
        <v>125</v>
      </c>
      <c r="J162" s="74">
        <v>1</v>
      </c>
      <c r="K162" s="74" t="s">
        <v>126</v>
      </c>
      <c r="L162" s="74" t="s">
        <v>127</v>
      </c>
      <c r="M162" s="74" t="s">
        <v>128</v>
      </c>
      <c r="N162" s="74" t="s">
        <v>129</v>
      </c>
      <c r="O162" s="74" t="s">
        <v>130</v>
      </c>
      <c r="P162" s="74" t="s">
        <v>131</v>
      </c>
      <c r="Q162" s="74" t="s">
        <v>132</v>
      </c>
      <c r="R162" s="74" t="s">
        <v>133</v>
      </c>
      <c r="S162" s="75" t="s">
        <v>134</v>
      </c>
      <c r="AH162" s="92"/>
    </row>
    <row r="163" spans="1:39">
      <c r="A163" s="70" t="s">
        <v>90</v>
      </c>
      <c r="B163" s="71" t="s">
        <v>105</v>
      </c>
      <c r="C163" s="72" t="s">
        <v>120</v>
      </c>
      <c r="D163" s="4">
        <f t="shared" ref="D163:D178" si="0">$J163*1000000000000</f>
        <v>1</v>
      </c>
      <c r="E163" s="5">
        <f t="shared" ref="E163:E178" si="1">$J163*1000000000</f>
        <v>1E-3</v>
      </c>
      <c r="F163" s="5">
        <f t="shared" ref="F163:F178" si="2">$J163*1000000</f>
        <v>9.9999999999999995E-7</v>
      </c>
      <c r="G163" s="5">
        <f t="shared" ref="G163:G178" si="3">$J163*1000</f>
        <v>1.0000000000000001E-9</v>
      </c>
      <c r="H163" s="5">
        <f t="shared" ref="H163:H178" si="4">$J163*100</f>
        <v>1E-10</v>
      </c>
      <c r="I163" s="5">
        <f t="shared" ref="I163:I178" si="5">$J163*10</f>
        <v>9.9999999999999994E-12</v>
      </c>
      <c r="J163" s="5">
        <v>9.9999999999999998E-13</v>
      </c>
      <c r="K163" s="5">
        <f t="shared" ref="K163:K178" si="6">$J163/10</f>
        <v>1E-13</v>
      </c>
      <c r="L163" s="5">
        <f t="shared" ref="L163:L178" si="7">$J163/100</f>
        <v>1E-14</v>
      </c>
      <c r="M163" s="5">
        <f t="shared" ref="M163:M178" si="8">$J163/1000</f>
        <v>1.0000000000000001E-15</v>
      </c>
      <c r="N163" s="5">
        <f t="shared" ref="N163:N178" si="9">$J163/1000000</f>
        <v>1.0000000000000001E-18</v>
      </c>
      <c r="O163" s="5">
        <f t="shared" ref="O163:O178" si="10">$J163/1000000000</f>
        <v>9.9999999999999991E-22</v>
      </c>
      <c r="P163" s="5">
        <f t="shared" ref="P163:P178" si="11">$J163/1000000000000</f>
        <v>9.9999999999999992E-25</v>
      </c>
      <c r="Q163" s="5">
        <f t="shared" ref="Q163:Q178" si="12">$J163/1000000000000000</f>
        <v>1E-27</v>
      </c>
      <c r="R163" s="5">
        <f t="shared" ref="R163:R178" si="13">$J163/1000000000000000000</f>
        <v>9.9999999999999991E-31</v>
      </c>
      <c r="S163" s="10">
        <f t="shared" ref="S163:S178" si="14">$J163/1E+21</f>
        <v>1.0000000000000001E-33</v>
      </c>
      <c r="AH163" s="92"/>
    </row>
    <row r="164" spans="1:39">
      <c r="A164" s="68" t="s">
        <v>91</v>
      </c>
      <c r="B164" s="66" t="s">
        <v>106</v>
      </c>
      <c r="C164" s="73" t="s">
        <v>121</v>
      </c>
      <c r="D164" s="11">
        <f t="shared" si="0"/>
        <v>1000.0000000000001</v>
      </c>
      <c r="E164" s="9">
        <f t="shared" si="1"/>
        <v>1</v>
      </c>
      <c r="F164" s="9">
        <f t="shared" si="2"/>
        <v>1E-3</v>
      </c>
      <c r="G164" s="9">
        <f t="shared" si="3"/>
        <v>1.0000000000000002E-6</v>
      </c>
      <c r="H164" s="9">
        <f t="shared" si="4"/>
        <v>1.0000000000000001E-7</v>
      </c>
      <c r="I164" s="9">
        <f t="shared" si="5"/>
        <v>1E-8</v>
      </c>
      <c r="J164" s="9">
        <v>1.0000000000000001E-9</v>
      </c>
      <c r="K164" s="9">
        <f t="shared" si="6"/>
        <v>1E-10</v>
      </c>
      <c r="L164" s="9">
        <f t="shared" si="7"/>
        <v>1.0000000000000001E-11</v>
      </c>
      <c r="M164" s="9">
        <f t="shared" si="8"/>
        <v>9.9999999999999998E-13</v>
      </c>
      <c r="N164" s="9">
        <f t="shared" si="9"/>
        <v>1.0000000000000001E-15</v>
      </c>
      <c r="O164" s="9">
        <f t="shared" si="10"/>
        <v>1.0000000000000001E-18</v>
      </c>
      <c r="P164" s="9">
        <f t="shared" si="11"/>
        <v>1.0000000000000001E-21</v>
      </c>
      <c r="Q164" s="9">
        <f t="shared" si="12"/>
        <v>1.0000000000000001E-24</v>
      </c>
      <c r="R164" s="9">
        <f t="shared" si="13"/>
        <v>1E-27</v>
      </c>
      <c r="S164" s="12">
        <f t="shared" si="14"/>
        <v>1.0000000000000001E-30</v>
      </c>
      <c r="AH164" s="92"/>
      <c r="AJ164" s="93"/>
      <c r="AK164" s="93"/>
      <c r="AL164" s="85"/>
      <c r="AM164" s="85"/>
    </row>
    <row r="165" spans="1:39">
      <c r="A165" s="68" t="s">
        <v>92</v>
      </c>
      <c r="B165" s="66" t="s">
        <v>107</v>
      </c>
      <c r="C165" s="73" t="s">
        <v>122</v>
      </c>
      <c r="D165" s="11">
        <f t="shared" si="0"/>
        <v>1000000</v>
      </c>
      <c r="E165" s="9">
        <f t="shared" si="1"/>
        <v>1000</v>
      </c>
      <c r="F165" s="9">
        <f t="shared" si="2"/>
        <v>1</v>
      </c>
      <c r="G165" s="9">
        <f t="shared" si="3"/>
        <v>1E-3</v>
      </c>
      <c r="H165" s="9">
        <f t="shared" si="4"/>
        <v>9.9999999999999991E-5</v>
      </c>
      <c r="I165" s="9">
        <f t="shared" si="5"/>
        <v>9.9999999999999991E-6</v>
      </c>
      <c r="J165" s="9">
        <v>9.9999999999999995E-7</v>
      </c>
      <c r="K165" s="9">
        <f t="shared" si="6"/>
        <v>9.9999999999999995E-8</v>
      </c>
      <c r="L165" s="9">
        <f t="shared" si="7"/>
        <v>1E-8</v>
      </c>
      <c r="M165" s="9">
        <f t="shared" si="8"/>
        <v>9.9999999999999986E-10</v>
      </c>
      <c r="N165" s="9">
        <f t="shared" si="9"/>
        <v>9.9999999999999998E-13</v>
      </c>
      <c r="O165" s="9">
        <f t="shared" si="10"/>
        <v>9.9999999999999988E-16</v>
      </c>
      <c r="P165" s="9">
        <f t="shared" si="11"/>
        <v>9.9999999999999988E-19</v>
      </c>
      <c r="Q165" s="9">
        <f t="shared" si="12"/>
        <v>9.9999999999999991E-22</v>
      </c>
      <c r="R165" s="9">
        <f t="shared" si="13"/>
        <v>9.9999999999999992E-25</v>
      </c>
      <c r="S165" s="12">
        <f t="shared" si="14"/>
        <v>1E-27</v>
      </c>
      <c r="AH165" s="92"/>
      <c r="AJ165" s="93"/>
      <c r="AK165" s="93"/>
      <c r="AL165" s="85"/>
      <c r="AM165" s="85"/>
    </row>
    <row r="166" spans="1:39">
      <c r="A166" s="68" t="s">
        <v>93</v>
      </c>
      <c r="B166" s="66" t="s">
        <v>108</v>
      </c>
      <c r="C166" s="73" t="s">
        <v>123</v>
      </c>
      <c r="D166" s="11">
        <f t="shared" si="0"/>
        <v>1000000000</v>
      </c>
      <c r="E166" s="9">
        <f t="shared" si="1"/>
        <v>1000000</v>
      </c>
      <c r="F166" s="9">
        <f t="shared" si="2"/>
        <v>1000</v>
      </c>
      <c r="G166" s="9">
        <f t="shared" si="3"/>
        <v>1</v>
      </c>
      <c r="H166" s="9">
        <f t="shared" si="4"/>
        <v>0.1</v>
      </c>
      <c r="I166" s="9">
        <f t="shared" si="5"/>
        <v>0.01</v>
      </c>
      <c r="J166" s="9">
        <v>1E-3</v>
      </c>
      <c r="K166" s="9">
        <f t="shared" si="6"/>
        <v>1E-4</v>
      </c>
      <c r="L166" s="9">
        <f t="shared" si="7"/>
        <v>1.0000000000000001E-5</v>
      </c>
      <c r="M166" s="9">
        <f t="shared" si="8"/>
        <v>9.9999999999999995E-7</v>
      </c>
      <c r="N166" s="9">
        <f t="shared" si="9"/>
        <v>1.0000000000000001E-9</v>
      </c>
      <c r="O166" s="9">
        <f t="shared" si="10"/>
        <v>9.9999999999999998E-13</v>
      </c>
      <c r="P166" s="9">
        <f t="shared" si="11"/>
        <v>1.0000000000000001E-15</v>
      </c>
      <c r="Q166" s="9">
        <f t="shared" si="12"/>
        <v>1.0000000000000001E-18</v>
      </c>
      <c r="R166" s="9">
        <f t="shared" si="13"/>
        <v>1.0000000000000001E-21</v>
      </c>
      <c r="S166" s="12">
        <f t="shared" si="14"/>
        <v>1.0000000000000001E-24</v>
      </c>
      <c r="AH166" s="92"/>
      <c r="AJ166" s="94"/>
      <c r="AK166" s="85"/>
      <c r="AL166" s="85"/>
      <c r="AM166" s="85"/>
    </row>
    <row r="167" spans="1:39">
      <c r="A167" s="68" t="s">
        <v>94</v>
      </c>
      <c r="B167" s="66" t="s">
        <v>109</v>
      </c>
      <c r="C167" s="73" t="s">
        <v>124</v>
      </c>
      <c r="D167" s="11">
        <f t="shared" si="0"/>
        <v>10000000000</v>
      </c>
      <c r="E167" s="9">
        <f t="shared" si="1"/>
        <v>10000000</v>
      </c>
      <c r="F167" s="9">
        <f t="shared" si="2"/>
        <v>10000</v>
      </c>
      <c r="G167" s="9">
        <f t="shared" si="3"/>
        <v>10</v>
      </c>
      <c r="H167" s="9">
        <f t="shared" si="4"/>
        <v>1</v>
      </c>
      <c r="I167" s="9">
        <f t="shared" si="5"/>
        <v>0.1</v>
      </c>
      <c r="J167" s="9">
        <v>0.01</v>
      </c>
      <c r="K167" s="9">
        <f t="shared" si="6"/>
        <v>1E-3</v>
      </c>
      <c r="L167" s="9">
        <f t="shared" si="7"/>
        <v>1E-4</v>
      </c>
      <c r="M167" s="9">
        <f t="shared" si="8"/>
        <v>1.0000000000000001E-5</v>
      </c>
      <c r="N167" s="9">
        <f t="shared" si="9"/>
        <v>1E-8</v>
      </c>
      <c r="O167" s="9">
        <f t="shared" si="10"/>
        <v>1.0000000000000001E-11</v>
      </c>
      <c r="P167" s="9">
        <f t="shared" si="11"/>
        <v>1E-14</v>
      </c>
      <c r="Q167" s="9">
        <f t="shared" si="12"/>
        <v>1.0000000000000001E-17</v>
      </c>
      <c r="R167" s="9">
        <f t="shared" si="13"/>
        <v>1.0000000000000001E-20</v>
      </c>
      <c r="S167" s="12">
        <f t="shared" si="14"/>
        <v>9.9999999999999996E-24</v>
      </c>
      <c r="AH167" s="92"/>
      <c r="AJ167" s="85"/>
      <c r="AK167" s="85"/>
      <c r="AL167" s="85"/>
      <c r="AM167" s="85"/>
    </row>
    <row r="168" spans="1:39">
      <c r="A168" s="68" t="s">
        <v>95</v>
      </c>
      <c r="B168" s="66" t="s">
        <v>110</v>
      </c>
      <c r="C168" s="73" t="s">
        <v>125</v>
      </c>
      <c r="D168" s="11">
        <f t="shared" si="0"/>
        <v>100000000000</v>
      </c>
      <c r="E168" s="9">
        <f t="shared" si="1"/>
        <v>100000000</v>
      </c>
      <c r="F168" s="9">
        <f t="shared" si="2"/>
        <v>100000</v>
      </c>
      <c r="G168" s="9">
        <f t="shared" si="3"/>
        <v>100</v>
      </c>
      <c r="H168" s="9">
        <f t="shared" si="4"/>
        <v>10</v>
      </c>
      <c r="I168" s="9">
        <f t="shared" si="5"/>
        <v>1</v>
      </c>
      <c r="J168" s="9">
        <v>0.1</v>
      </c>
      <c r="K168" s="9">
        <f t="shared" si="6"/>
        <v>0.01</v>
      </c>
      <c r="L168" s="9">
        <f t="shared" si="7"/>
        <v>1E-3</v>
      </c>
      <c r="M168" s="9">
        <f t="shared" si="8"/>
        <v>1E-4</v>
      </c>
      <c r="N168" s="9">
        <f t="shared" si="9"/>
        <v>1.0000000000000001E-7</v>
      </c>
      <c r="O168" s="9">
        <f t="shared" si="10"/>
        <v>1E-10</v>
      </c>
      <c r="P168" s="9">
        <f t="shared" si="11"/>
        <v>1E-13</v>
      </c>
      <c r="Q168" s="9">
        <f t="shared" si="12"/>
        <v>1.0000000000000001E-16</v>
      </c>
      <c r="R168" s="9">
        <f t="shared" si="13"/>
        <v>1.0000000000000001E-19</v>
      </c>
      <c r="S168" s="12">
        <f t="shared" si="14"/>
        <v>1E-22</v>
      </c>
      <c r="AH168" s="92"/>
      <c r="AJ168" s="85"/>
      <c r="AK168" s="85"/>
      <c r="AL168" s="85"/>
      <c r="AM168" s="85"/>
    </row>
    <row r="169" spans="1:39" s="19" customFormat="1">
      <c r="A169" s="68"/>
      <c r="B169" s="66">
        <v>1</v>
      </c>
      <c r="C169" s="73">
        <v>1</v>
      </c>
      <c r="D169" s="11">
        <f t="shared" si="0"/>
        <v>1000000000000</v>
      </c>
      <c r="E169" s="9">
        <f t="shared" si="1"/>
        <v>1000000000</v>
      </c>
      <c r="F169" s="9">
        <f t="shared" si="2"/>
        <v>1000000</v>
      </c>
      <c r="G169" s="9">
        <f t="shared" si="3"/>
        <v>1000</v>
      </c>
      <c r="H169" s="9">
        <f t="shared" si="4"/>
        <v>100</v>
      </c>
      <c r="I169" s="9">
        <f t="shared" si="5"/>
        <v>10</v>
      </c>
      <c r="J169" s="9">
        <v>1</v>
      </c>
      <c r="K169" s="9">
        <f t="shared" si="6"/>
        <v>0.1</v>
      </c>
      <c r="L169" s="9">
        <f t="shared" si="7"/>
        <v>0.01</v>
      </c>
      <c r="M169" s="9">
        <f t="shared" si="8"/>
        <v>1E-3</v>
      </c>
      <c r="N169" s="9">
        <f t="shared" si="9"/>
        <v>9.9999999999999995E-7</v>
      </c>
      <c r="O169" s="9">
        <f t="shared" si="10"/>
        <v>1.0000000000000001E-9</v>
      </c>
      <c r="P169" s="9">
        <f t="shared" si="11"/>
        <v>9.9999999999999998E-13</v>
      </c>
      <c r="Q169" s="9">
        <f t="shared" si="12"/>
        <v>1.0000000000000001E-15</v>
      </c>
      <c r="R169" s="9">
        <f t="shared" si="13"/>
        <v>1.0000000000000001E-18</v>
      </c>
      <c r="S169" s="12">
        <f t="shared" si="14"/>
        <v>9.9999999999999991E-22</v>
      </c>
      <c r="AH169" s="95"/>
      <c r="AJ169" s="57"/>
      <c r="AK169" s="57"/>
      <c r="AL169" s="57"/>
      <c r="AM169" s="57"/>
    </row>
    <row r="170" spans="1:39">
      <c r="A170" s="68" t="s">
        <v>96</v>
      </c>
      <c r="B170" s="66" t="s">
        <v>111</v>
      </c>
      <c r="C170" s="73" t="s">
        <v>126</v>
      </c>
      <c r="D170" s="11">
        <f t="shared" si="0"/>
        <v>10000000000000</v>
      </c>
      <c r="E170" s="9">
        <f t="shared" si="1"/>
        <v>10000000000</v>
      </c>
      <c r="F170" s="9">
        <f t="shared" si="2"/>
        <v>10000000</v>
      </c>
      <c r="G170" s="9">
        <f t="shared" si="3"/>
        <v>10000</v>
      </c>
      <c r="H170" s="9">
        <f t="shared" si="4"/>
        <v>1000</v>
      </c>
      <c r="I170" s="9">
        <f t="shared" si="5"/>
        <v>100</v>
      </c>
      <c r="J170" s="9">
        <v>10</v>
      </c>
      <c r="K170" s="9">
        <f t="shared" si="6"/>
        <v>1</v>
      </c>
      <c r="L170" s="9">
        <f t="shared" si="7"/>
        <v>0.1</v>
      </c>
      <c r="M170" s="9">
        <f t="shared" si="8"/>
        <v>0.01</v>
      </c>
      <c r="N170" s="9">
        <f t="shared" si="9"/>
        <v>1.0000000000000001E-5</v>
      </c>
      <c r="O170" s="9">
        <f t="shared" si="10"/>
        <v>1E-8</v>
      </c>
      <c r="P170" s="9">
        <f t="shared" si="11"/>
        <v>9.9999999999999994E-12</v>
      </c>
      <c r="Q170" s="9">
        <f t="shared" si="12"/>
        <v>1E-14</v>
      </c>
      <c r="R170" s="9">
        <f t="shared" si="13"/>
        <v>1.0000000000000001E-17</v>
      </c>
      <c r="S170" s="12">
        <f t="shared" si="14"/>
        <v>9.9999999999999995E-21</v>
      </c>
      <c r="AJ170" s="94"/>
      <c r="AK170" s="85"/>
      <c r="AL170" s="92"/>
      <c r="AM170" s="92"/>
    </row>
    <row r="171" spans="1:39">
      <c r="A171" s="68" t="s">
        <v>97</v>
      </c>
      <c r="B171" s="66" t="s">
        <v>112</v>
      </c>
      <c r="C171" s="73" t="s">
        <v>127</v>
      </c>
      <c r="D171" s="11">
        <f t="shared" si="0"/>
        <v>100000000000000</v>
      </c>
      <c r="E171" s="9">
        <f t="shared" si="1"/>
        <v>100000000000</v>
      </c>
      <c r="F171" s="9">
        <f t="shared" si="2"/>
        <v>100000000</v>
      </c>
      <c r="G171" s="9">
        <f t="shared" si="3"/>
        <v>100000</v>
      </c>
      <c r="H171" s="9">
        <f t="shared" si="4"/>
        <v>10000</v>
      </c>
      <c r="I171" s="9">
        <f t="shared" si="5"/>
        <v>1000</v>
      </c>
      <c r="J171" s="9">
        <v>100</v>
      </c>
      <c r="K171" s="9">
        <f t="shared" si="6"/>
        <v>10</v>
      </c>
      <c r="L171" s="9">
        <f t="shared" si="7"/>
        <v>1</v>
      </c>
      <c r="M171" s="9">
        <f t="shared" si="8"/>
        <v>0.1</v>
      </c>
      <c r="N171" s="9">
        <f t="shared" si="9"/>
        <v>1E-4</v>
      </c>
      <c r="O171" s="9">
        <f t="shared" si="10"/>
        <v>9.9999999999999995E-8</v>
      </c>
      <c r="P171" s="9">
        <f t="shared" si="11"/>
        <v>1E-10</v>
      </c>
      <c r="Q171" s="9">
        <f t="shared" si="12"/>
        <v>1E-13</v>
      </c>
      <c r="R171" s="9">
        <f t="shared" si="13"/>
        <v>9.9999999999999998E-17</v>
      </c>
      <c r="S171" s="12">
        <f t="shared" si="14"/>
        <v>9.9999999999999998E-20</v>
      </c>
      <c r="AJ171" s="94"/>
      <c r="AK171" s="85"/>
      <c r="AL171" s="92"/>
      <c r="AM171" s="92"/>
    </row>
    <row r="172" spans="1:39">
      <c r="A172" s="68" t="s">
        <v>98</v>
      </c>
      <c r="B172" s="66" t="s">
        <v>113</v>
      </c>
      <c r="C172" s="73" t="s">
        <v>128</v>
      </c>
      <c r="D172" s="11">
        <f t="shared" si="0"/>
        <v>1000000000000000</v>
      </c>
      <c r="E172" s="9">
        <f t="shared" si="1"/>
        <v>1000000000000</v>
      </c>
      <c r="F172" s="9">
        <f t="shared" si="2"/>
        <v>1000000000</v>
      </c>
      <c r="G172" s="9">
        <f t="shared" si="3"/>
        <v>1000000</v>
      </c>
      <c r="H172" s="9">
        <f t="shared" si="4"/>
        <v>100000</v>
      </c>
      <c r="I172" s="9">
        <f t="shared" si="5"/>
        <v>10000</v>
      </c>
      <c r="J172" s="9">
        <v>1000</v>
      </c>
      <c r="K172" s="9">
        <f t="shared" si="6"/>
        <v>100</v>
      </c>
      <c r="L172" s="9">
        <f t="shared" si="7"/>
        <v>10</v>
      </c>
      <c r="M172" s="9">
        <f t="shared" si="8"/>
        <v>1</v>
      </c>
      <c r="N172" s="9">
        <f t="shared" si="9"/>
        <v>1E-3</v>
      </c>
      <c r="O172" s="9">
        <f t="shared" si="10"/>
        <v>9.9999999999999995E-7</v>
      </c>
      <c r="P172" s="9">
        <f t="shared" si="11"/>
        <v>1.0000000000000001E-9</v>
      </c>
      <c r="Q172" s="9">
        <f t="shared" si="12"/>
        <v>9.9999999999999998E-13</v>
      </c>
      <c r="R172" s="9">
        <f t="shared" si="13"/>
        <v>1.0000000000000001E-15</v>
      </c>
      <c r="S172" s="12">
        <f t="shared" si="14"/>
        <v>1.0000000000000001E-18</v>
      </c>
    </row>
    <row r="173" spans="1:39">
      <c r="A173" s="68" t="s">
        <v>99</v>
      </c>
      <c r="B173" s="66" t="s">
        <v>114</v>
      </c>
      <c r="C173" s="73" t="s">
        <v>129</v>
      </c>
      <c r="D173" s="11">
        <f t="shared" si="0"/>
        <v>1E+18</v>
      </c>
      <c r="E173" s="9">
        <f t="shared" si="1"/>
        <v>1000000000000000</v>
      </c>
      <c r="F173" s="9">
        <f t="shared" si="2"/>
        <v>1000000000000</v>
      </c>
      <c r="G173" s="9">
        <f t="shared" si="3"/>
        <v>1000000000</v>
      </c>
      <c r="H173" s="9">
        <f t="shared" si="4"/>
        <v>100000000</v>
      </c>
      <c r="I173" s="9">
        <f t="shared" si="5"/>
        <v>10000000</v>
      </c>
      <c r="J173" s="9">
        <v>1000000</v>
      </c>
      <c r="K173" s="9">
        <f t="shared" si="6"/>
        <v>100000</v>
      </c>
      <c r="L173" s="9">
        <f t="shared" si="7"/>
        <v>10000</v>
      </c>
      <c r="M173" s="9">
        <f t="shared" si="8"/>
        <v>1000</v>
      </c>
      <c r="N173" s="9">
        <f t="shared" si="9"/>
        <v>1</v>
      </c>
      <c r="O173" s="9">
        <f t="shared" si="10"/>
        <v>1E-3</v>
      </c>
      <c r="P173" s="9">
        <f t="shared" si="11"/>
        <v>9.9999999999999995E-7</v>
      </c>
      <c r="Q173" s="9">
        <f t="shared" si="12"/>
        <v>1.0000000000000001E-9</v>
      </c>
      <c r="R173" s="9">
        <f t="shared" si="13"/>
        <v>9.9999999999999998E-13</v>
      </c>
      <c r="S173" s="12">
        <f t="shared" si="14"/>
        <v>1.0000000000000001E-15</v>
      </c>
    </row>
    <row r="174" spans="1:39">
      <c r="A174" s="68" t="s">
        <v>100</v>
      </c>
      <c r="B174" s="66" t="s">
        <v>115</v>
      </c>
      <c r="C174" s="73" t="s">
        <v>130</v>
      </c>
      <c r="D174" s="11">
        <f t="shared" si="0"/>
        <v>1E+21</v>
      </c>
      <c r="E174" s="9">
        <f t="shared" si="1"/>
        <v>1E+18</v>
      </c>
      <c r="F174" s="9">
        <f t="shared" si="2"/>
        <v>1000000000000000</v>
      </c>
      <c r="G174" s="9">
        <f t="shared" si="3"/>
        <v>1000000000000</v>
      </c>
      <c r="H174" s="9">
        <f t="shared" si="4"/>
        <v>100000000000</v>
      </c>
      <c r="I174" s="9">
        <f t="shared" si="5"/>
        <v>10000000000</v>
      </c>
      <c r="J174" s="9">
        <v>1000000000</v>
      </c>
      <c r="K174" s="9">
        <f t="shared" si="6"/>
        <v>100000000</v>
      </c>
      <c r="L174" s="9">
        <f t="shared" si="7"/>
        <v>10000000</v>
      </c>
      <c r="M174" s="9">
        <f t="shared" si="8"/>
        <v>1000000</v>
      </c>
      <c r="N174" s="9">
        <f t="shared" si="9"/>
        <v>1000</v>
      </c>
      <c r="O174" s="9">
        <f t="shared" si="10"/>
        <v>1</v>
      </c>
      <c r="P174" s="9">
        <f t="shared" si="11"/>
        <v>1E-3</v>
      </c>
      <c r="Q174" s="9">
        <f t="shared" si="12"/>
        <v>9.9999999999999995E-7</v>
      </c>
      <c r="R174" s="9">
        <f t="shared" si="13"/>
        <v>1.0000000000000001E-9</v>
      </c>
      <c r="S174" s="12">
        <f t="shared" si="14"/>
        <v>9.9999999999999998E-13</v>
      </c>
    </row>
    <row r="175" spans="1:39">
      <c r="A175" s="68" t="s">
        <v>101</v>
      </c>
      <c r="B175" s="66" t="s">
        <v>116</v>
      </c>
      <c r="C175" s="73" t="s">
        <v>131</v>
      </c>
      <c r="D175" s="11">
        <f t="shared" si="0"/>
        <v>9.9999999999999998E+23</v>
      </c>
      <c r="E175" s="9">
        <f t="shared" si="1"/>
        <v>1E+21</v>
      </c>
      <c r="F175" s="9">
        <f t="shared" si="2"/>
        <v>1E+18</v>
      </c>
      <c r="G175" s="9">
        <f t="shared" si="3"/>
        <v>1000000000000000</v>
      </c>
      <c r="H175" s="9">
        <f t="shared" si="4"/>
        <v>100000000000000</v>
      </c>
      <c r="I175" s="9">
        <f t="shared" si="5"/>
        <v>10000000000000</v>
      </c>
      <c r="J175" s="9">
        <v>1000000000000</v>
      </c>
      <c r="K175" s="9">
        <f t="shared" si="6"/>
        <v>100000000000</v>
      </c>
      <c r="L175" s="9">
        <f t="shared" si="7"/>
        <v>10000000000</v>
      </c>
      <c r="M175" s="9">
        <f t="shared" si="8"/>
        <v>1000000000</v>
      </c>
      <c r="N175" s="9">
        <f t="shared" si="9"/>
        <v>1000000</v>
      </c>
      <c r="O175" s="9">
        <f t="shared" si="10"/>
        <v>1000</v>
      </c>
      <c r="P175" s="9">
        <f t="shared" si="11"/>
        <v>1</v>
      </c>
      <c r="Q175" s="9">
        <f t="shared" si="12"/>
        <v>1E-3</v>
      </c>
      <c r="R175" s="9">
        <f t="shared" si="13"/>
        <v>9.9999999999999995E-7</v>
      </c>
      <c r="S175" s="12">
        <f t="shared" si="14"/>
        <v>1.0000000000000001E-9</v>
      </c>
    </row>
    <row r="176" spans="1:39">
      <c r="A176" s="68" t="s">
        <v>102</v>
      </c>
      <c r="B176" s="66" t="s">
        <v>117</v>
      </c>
      <c r="C176" s="73" t="s">
        <v>132</v>
      </c>
      <c r="D176" s="11">
        <f t="shared" si="0"/>
        <v>1E+27</v>
      </c>
      <c r="E176" s="9">
        <f t="shared" si="1"/>
        <v>9.9999999999999998E+23</v>
      </c>
      <c r="F176" s="9">
        <f t="shared" si="2"/>
        <v>1E+21</v>
      </c>
      <c r="G176" s="9">
        <f t="shared" si="3"/>
        <v>1E+18</v>
      </c>
      <c r="H176" s="9">
        <f t="shared" si="4"/>
        <v>1E+17</v>
      </c>
      <c r="I176" s="9">
        <f t="shared" si="5"/>
        <v>1E+16</v>
      </c>
      <c r="J176" s="9">
        <v>1000000000000000</v>
      </c>
      <c r="K176" s="9">
        <f t="shared" si="6"/>
        <v>100000000000000</v>
      </c>
      <c r="L176" s="9">
        <f t="shared" si="7"/>
        <v>10000000000000</v>
      </c>
      <c r="M176" s="9">
        <f t="shared" si="8"/>
        <v>1000000000000</v>
      </c>
      <c r="N176" s="9">
        <f t="shared" si="9"/>
        <v>1000000000</v>
      </c>
      <c r="O176" s="9">
        <f t="shared" si="10"/>
        <v>1000000</v>
      </c>
      <c r="P176" s="9">
        <f t="shared" si="11"/>
        <v>1000</v>
      </c>
      <c r="Q176" s="9">
        <f t="shared" si="12"/>
        <v>1</v>
      </c>
      <c r="R176" s="9">
        <f t="shared" si="13"/>
        <v>1E-3</v>
      </c>
      <c r="S176" s="12">
        <f t="shared" si="14"/>
        <v>9.9999999999999995E-7</v>
      </c>
    </row>
    <row r="177" spans="1:19">
      <c r="A177" s="68" t="s">
        <v>103</v>
      </c>
      <c r="B177" s="66" t="s">
        <v>118</v>
      </c>
      <c r="C177" s="73" t="s">
        <v>133</v>
      </c>
      <c r="D177" s="11">
        <f t="shared" si="0"/>
        <v>1E+30</v>
      </c>
      <c r="E177" s="9">
        <f t="shared" si="1"/>
        <v>1E+27</v>
      </c>
      <c r="F177" s="9">
        <f t="shared" si="2"/>
        <v>9.9999999999999998E+23</v>
      </c>
      <c r="G177" s="9">
        <f t="shared" si="3"/>
        <v>1E+21</v>
      </c>
      <c r="H177" s="9">
        <f t="shared" si="4"/>
        <v>1E+20</v>
      </c>
      <c r="I177" s="9">
        <f t="shared" si="5"/>
        <v>1E+19</v>
      </c>
      <c r="J177" s="9">
        <v>1E+18</v>
      </c>
      <c r="K177" s="9">
        <f t="shared" si="6"/>
        <v>1E+17</v>
      </c>
      <c r="L177" s="9">
        <f t="shared" si="7"/>
        <v>1E+16</v>
      </c>
      <c r="M177" s="9">
        <f t="shared" si="8"/>
        <v>1000000000000000</v>
      </c>
      <c r="N177" s="9">
        <f t="shared" si="9"/>
        <v>1000000000000</v>
      </c>
      <c r="O177" s="9">
        <f t="shared" si="10"/>
        <v>1000000000</v>
      </c>
      <c r="P177" s="9">
        <f t="shared" si="11"/>
        <v>1000000</v>
      </c>
      <c r="Q177" s="9">
        <f t="shared" si="12"/>
        <v>1000</v>
      </c>
      <c r="R177" s="9">
        <f t="shared" si="13"/>
        <v>1</v>
      </c>
      <c r="S177" s="12">
        <f t="shared" si="14"/>
        <v>1E-3</v>
      </c>
    </row>
    <row r="178" spans="1:19" ht="15" thickBot="1">
      <c r="A178" s="69" t="s">
        <v>104</v>
      </c>
      <c r="B178" s="74" t="s">
        <v>119</v>
      </c>
      <c r="C178" s="75" t="s">
        <v>134</v>
      </c>
      <c r="D178" s="13">
        <f t="shared" si="0"/>
        <v>9.9999999999999995E+32</v>
      </c>
      <c r="E178" s="14">
        <f t="shared" si="1"/>
        <v>1E+30</v>
      </c>
      <c r="F178" s="14">
        <f t="shared" si="2"/>
        <v>1E+27</v>
      </c>
      <c r="G178" s="14">
        <f t="shared" si="3"/>
        <v>9.9999999999999998E+23</v>
      </c>
      <c r="H178" s="14">
        <f t="shared" si="4"/>
        <v>9.9999999999999992E+22</v>
      </c>
      <c r="I178" s="14">
        <f t="shared" si="5"/>
        <v>1E+22</v>
      </c>
      <c r="J178" s="14">
        <v>1E+21</v>
      </c>
      <c r="K178" s="14">
        <f t="shared" si="6"/>
        <v>1E+20</v>
      </c>
      <c r="L178" s="14">
        <f t="shared" si="7"/>
        <v>1E+19</v>
      </c>
      <c r="M178" s="14">
        <f t="shared" si="8"/>
        <v>1E+18</v>
      </c>
      <c r="N178" s="14">
        <f t="shared" si="9"/>
        <v>1000000000000000</v>
      </c>
      <c r="O178" s="14">
        <f t="shared" si="10"/>
        <v>1000000000000</v>
      </c>
      <c r="P178" s="14">
        <f t="shared" si="11"/>
        <v>1000000000</v>
      </c>
      <c r="Q178" s="14">
        <f t="shared" si="12"/>
        <v>1000000</v>
      </c>
      <c r="R178" s="14">
        <f t="shared" si="13"/>
        <v>1000</v>
      </c>
      <c r="S178" s="15">
        <f t="shared" si="14"/>
        <v>1</v>
      </c>
    </row>
  </sheetData>
  <mergeCells count="9">
    <mergeCell ref="B133:B136"/>
    <mergeCell ref="B140:B144"/>
    <mergeCell ref="B148:B157"/>
    <mergeCell ref="B5:B41"/>
    <mergeCell ref="B45:B64"/>
    <mergeCell ref="B69:B77"/>
    <mergeCell ref="B81:B100"/>
    <mergeCell ref="B104:B117"/>
    <mergeCell ref="B121:B12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"/>
  <sheetViews>
    <sheetView workbookViewId="0"/>
  </sheetViews>
  <sheetFormatPr baseColWidth="10" defaultRowHeight="14.4"/>
  <sheetData>
    <row r="1" spans="1:19" ht="25.8">
      <c r="A1" s="114" t="s">
        <v>509</v>
      </c>
    </row>
    <row r="2" spans="1:19" ht="15" thickBot="1"/>
    <row r="3" spans="1:19">
      <c r="D3" s="70" t="s">
        <v>90</v>
      </c>
      <c r="E3" s="71" t="s">
        <v>91</v>
      </c>
      <c r="F3" s="71" t="s">
        <v>92</v>
      </c>
      <c r="G3" s="71" t="s">
        <v>93</v>
      </c>
      <c r="H3" s="71" t="s">
        <v>94</v>
      </c>
      <c r="I3" s="71" t="s">
        <v>95</v>
      </c>
      <c r="J3" s="71"/>
      <c r="K3" s="71" t="s">
        <v>96</v>
      </c>
      <c r="L3" s="71" t="s">
        <v>97</v>
      </c>
      <c r="M3" s="71" t="s">
        <v>98</v>
      </c>
      <c r="N3" s="71" t="s">
        <v>99</v>
      </c>
      <c r="O3" s="71" t="s">
        <v>100</v>
      </c>
      <c r="P3" s="71" t="s">
        <v>101</v>
      </c>
      <c r="Q3" s="71" t="s">
        <v>102</v>
      </c>
      <c r="R3" s="71" t="s">
        <v>103</v>
      </c>
      <c r="S3" s="72" t="s">
        <v>104</v>
      </c>
    </row>
    <row r="4" spans="1:19">
      <c r="D4" s="68" t="s">
        <v>105</v>
      </c>
      <c r="E4" s="66" t="s">
        <v>106</v>
      </c>
      <c r="F4" s="66" t="s">
        <v>107</v>
      </c>
      <c r="G4" s="66" t="s">
        <v>108</v>
      </c>
      <c r="H4" s="66" t="s">
        <v>109</v>
      </c>
      <c r="I4" s="66" t="s">
        <v>110</v>
      </c>
      <c r="J4" s="66">
        <v>1</v>
      </c>
      <c r="K4" s="66" t="s">
        <v>111</v>
      </c>
      <c r="L4" s="66" t="s">
        <v>112</v>
      </c>
      <c r="M4" s="66" t="s">
        <v>113</v>
      </c>
      <c r="N4" s="66" t="s">
        <v>114</v>
      </c>
      <c r="O4" s="66" t="s">
        <v>115</v>
      </c>
      <c r="P4" s="66" t="s">
        <v>116</v>
      </c>
      <c r="Q4" s="66" t="s">
        <v>117</v>
      </c>
      <c r="R4" s="66" t="s">
        <v>118</v>
      </c>
      <c r="S4" s="73" t="s">
        <v>119</v>
      </c>
    </row>
    <row r="5" spans="1:19" ht="29.4" thickBot="1">
      <c r="D5" s="69" t="s">
        <v>120</v>
      </c>
      <c r="E5" s="74" t="s">
        <v>121</v>
      </c>
      <c r="F5" s="74" t="s">
        <v>122</v>
      </c>
      <c r="G5" s="74" t="s">
        <v>123</v>
      </c>
      <c r="H5" s="74" t="s">
        <v>124</v>
      </c>
      <c r="I5" s="74" t="s">
        <v>125</v>
      </c>
      <c r="J5" s="74">
        <v>1</v>
      </c>
      <c r="K5" s="74" t="s">
        <v>126</v>
      </c>
      <c r="L5" s="74" t="s">
        <v>127</v>
      </c>
      <c r="M5" s="74" t="s">
        <v>128</v>
      </c>
      <c r="N5" s="74" t="s">
        <v>129</v>
      </c>
      <c r="O5" s="74" t="s">
        <v>130</v>
      </c>
      <c r="P5" s="74" t="s">
        <v>131</v>
      </c>
      <c r="Q5" s="74" t="s">
        <v>132</v>
      </c>
      <c r="R5" s="74" t="s">
        <v>133</v>
      </c>
      <c r="S5" s="75" t="s">
        <v>134</v>
      </c>
    </row>
    <row r="6" spans="1:19">
      <c r="A6" s="70" t="s">
        <v>90</v>
      </c>
      <c r="B6" s="71" t="s">
        <v>105</v>
      </c>
      <c r="C6" s="72" t="s">
        <v>120</v>
      </c>
      <c r="D6" s="4">
        <v>1</v>
      </c>
      <c r="E6" s="5">
        <v>1E-3</v>
      </c>
      <c r="F6" s="5">
        <v>9.9999999999999995E-7</v>
      </c>
      <c r="G6" s="5">
        <v>1.0000000000000001E-9</v>
      </c>
      <c r="H6" s="5">
        <v>1E-10</v>
      </c>
      <c r="I6" s="5">
        <v>9.9999999999999994E-12</v>
      </c>
      <c r="J6" s="5">
        <v>9.9999999999999998E-13</v>
      </c>
      <c r="K6" s="5">
        <v>1E-13</v>
      </c>
      <c r="L6" s="5">
        <v>1E-14</v>
      </c>
      <c r="M6" s="5">
        <v>1.0000000000000001E-15</v>
      </c>
      <c r="N6" s="5">
        <v>1.0000000000000001E-18</v>
      </c>
      <c r="O6" s="5">
        <v>9.9999999999999991E-22</v>
      </c>
      <c r="P6" s="5">
        <v>9.9999999999999992E-25</v>
      </c>
      <c r="Q6" s="5">
        <v>1E-27</v>
      </c>
      <c r="R6" s="5">
        <v>9.9999999999999991E-31</v>
      </c>
      <c r="S6" s="10">
        <v>1.0000000000000001E-33</v>
      </c>
    </row>
    <row r="7" spans="1:19">
      <c r="A7" s="68" t="s">
        <v>91</v>
      </c>
      <c r="B7" s="66" t="s">
        <v>106</v>
      </c>
      <c r="C7" s="73" t="s">
        <v>121</v>
      </c>
      <c r="D7" s="11">
        <v>1000.0000000000001</v>
      </c>
      <c r="E7" s="9">
        <v>1</v>
      </c>
      <c r="F7" s="9">
        <v>1E-3</v>
      </c>
      <c r="G7" s="9">
        <v>1.0000000000000002E-6</v>
      </c>
      <c r="H7" s="9">
        <v>1.0000000000000001E-7</v>
      </c>
      <c r="I7" s="9">
        <v>1E-8</v>
      </c>
      <c r="J7" s="9">
        <v>1.0000000000000001E-9</v>
      </c>
      <c r="K7" s="9">
        <v>1E-10</v>
      </c>
      <c r="L7" s="9">
        <v>1.0000000000000001E-11</v>
      </c>
      <c r="M7" s="9">
        <v>9.9999999999999998E-13</v>
      </c>
      <c r="N7" s="9">
        <v>1.0000000000000001E-15</v>
      </c>
      <c r="O7" s="9">
        <v>1.0000000000000001E-18</v>
      </c>
      <c r="P7" s="9">
        <v>1.0000000000000001E-21</v>
      </c>
      <c r="Q7" s="9">
        <v>1.0000000000000001E-24</v>
      </c>
      <c r="R7" s="9">
        <v>1E-27</v>
      </c>
      <c r="S7" s="12">
        <v>1.0000000000000001E-30</v>
      </c>
    </row>
    <row r="8" spans="1:19">
      <c r="A8" s="68" t="s">
        <v>92</v>
      </c>
      <c r="B8" s="66" t="s">
        <v>107</v>
      </c>
      <c r="C8" s="73" t="s">
        <v>122</v>
      </c>
      <c r="D8" s="11">
        <v>1000000</v>
      </c>
      <c r="E8" s="9">
        <v>1000</v>
      </c>
      <c r="F8" s="9">
        <v>1</v>
      </c>
      <c r="G8" s="9">
        <v>1E-3</v>
      </c>
      <c r="H8" s="9">
        <v>9.9999999999999991E-5</v>
      </c>
      <c r="I8" s="9">
        <v>9.9999999999999991E-6</v>
      </c>
      <c r="J8" s="9">
        <v>9.9999999999999995E-7</v>
      </c>
      <c r="K8" s="9">
        <v>9.9999999999999995E-8</v>
      </c>
      <c r="L8" s="9">
        <v>1E-8</v>
      </c>
      <c r="M8" s="9">
        <v>9.9999999999999986E-10</v>
      </c>
      <c r="N8" s="9">
        <v>9.9999999999999998E-13</v>
      </c>
      <c r="O8" s="9">
        <v>9.9999999999999988E-16</v>
      </c>
      <c r="P8" s="9">
        <v>9.9999999999999988E-19</v>
      </c>
      <c r="Q8" s="9">
        <v>9.9999999999999991E-22</v>
      </c>
      <c r="R8" s="9">
        <v>9.9999999999999992E-25</v>
      </c>
      <c r="S8" s="12">
        <v>1E-27</v>
      </c>
    </row>
    <row r="9" spans="1:19">
      <c r="A9" s="68" t="s">
        <v>93</v>
      </c>
      <c r="B9" s="66" t="s">
        <v>108</v>
      </c>
      <c r="C9" s="73" t="s">
        <v>123</v>
      </c>
      <c r="D9" s="11">
        <v>1000000000</v>
      </c>
      <c r="E9" s="9">
        <v>1000000</v>
      </c>
      <c r="F9" s="9">
        <v>1000</v>
      </c>
      <c r="G9" s="9">
        <v>1</v>
      </c>
      <c r="H9" s="9">
        <v>0.1</v>
      </c>
      <c r="I9" s="9">
        <v>0.01</v>
      </c>
      <c r="J9" s="9">
        <v>1E-3</v>
      </c>
      <c r="K9" s="9">
        <v>1E-4</v>
      </c>
      <c r="L9" s="9">
        <v>1.0000000000000001E-5</v>
      </c>
      <c r="M9" s="9">
        <v>9.9999999999999995E-7</v>
      </c>
      <c r="N9" s="9">
        <v>1.0000000000000001E-9</v>
      </c>
      <c r="O9" s="9">
        <v>9.9999999999999998E-13</v>
      </c>
      <c r="P9" s="9">
        <v>1.0000000000000001E-15</v>
      </c>
      <c r="Q9" s="9">
        <v>1.0000000000000001E-18</v>
      </c>
      <c r="R9" s="9">
        <v>1.0000000000000001E-21</v>
      </c>
      <c r="S9" s="12">
        <v>1.0000000000000001E-24</v>
      </c>
    </row>
    <row r="10" spans="1:19">
      <c r="A10" s="68" t="s">
        <v>94</v>
      </c>
      <c r="B10" s="66" t="s">
        <v>109</v>
      </c>
      <c r="C10" s="73" t="s">
        <v>124</v>
      </c>
      <c r="D10" s="11">
        <v>10000000000</v>
      </c>
      <c r="E10" s="9">
        <v>10000000</v>
      </c>
      <c r="F10" s="9">
        <v>10000</v>
      </c>
      <c r="G10" s="9">
        <v>10</v>
      </c>
      <c r="H10" s="9">
        <v>1</v>
      </c>
      <c r="I10" s="9">
        <v>0.1</v>
      </c>
      <c r="J10" s="9">
        <v>0.01</v>
      </c>
      <c r="K10" s="9">
        <v>1E-3</v>
      </c>
      <c r="L10" s="9">
        <v>1E-4</v>
      </c>
      <c r="M10" s="9">
        <v>1.0000000000000001E-5</v>
      </c>
      <c r="N10" s="9">
        <v>1E-8</v>
      </c>
      <c r="O10" s="9">
        <v>1.0000000000000001E-11</v>
      </c>
      <c r="P10" s="9">
        <v>1E-14</v>
      </c>
      <c r="Q10" s="9">
        <v>1.0000000000000001E-17</v>
      </c>
      <c r="R10" s="9">
        <v>1.0000000000000001E-20</v>
      </c>
      <c r="S10" s="12">
        <v>9.9999999999999996E-24</v>
      </c>
    </row>
    <row r="11" spans="1:19">
      <c r="A11" s="68" t="s">
        <v>95</v>
      </c>
      <c r="B11" s="66" t="s">
        <v>110</v>
      </c>
      <c r="C11" s="73" t="s">
        <v>125</v>
      </c>
      <c r="D11" s="11">
        <v>100000000000</v>
      </c>
      <c r="E11" s="9">
        <v>100000000</v>
      </c>
      <c r="F11" s="9">
        <v>100000</v>
      </c>
      <c r="G11" s="9">
        <v>100</v>
      </c>
      <c r="H11" s="9">
        <v>10</v>
      </c>
      <c r="I11" s="9">
        <v>1</v>
      </c>
      <c r="J11" s="9">
        <v>0.1</v>
      </c>
      <c r="K11" s="9">
        <v>0.01</v>
      </c>
      <c r="L11" s="9">
        <v>1E-3</v>
      </c>
      <c r="M11" s="9">
        <v>1E-4</v>
      </c>
      <c r="N11" s="9">
        <v>1.0000000000000001E-7</v>
      </c>
      <c r="O11" s="9">
        <v>1E-10</v>
      </c>
      <c r="P11" s="9">
        <v>1E-13</v>
      </c>
      <c r="Q11" s="9">
        <v>1.0000000000000001E-16</v>
      </c>
      <c r="R11" s="9">
        <v>1.0000000000000001E-19</v>
      </c>
      <c r="S11" s="12">
        <v>1E-22</v>
      </c>
    </row>
    <row r="12" spans="1:19">
      <c r="A12" s="68"/>
      <c r="B12" s="66">
        <v>1</v>
      </c>
      <c r="C12" s="73">
        <v>1</v>
      </c>
      <c r="D12" s="11">
        <v>1000000000000</v>
      </c>
      <c r="E12" s="9">
        <v>1000000000</v>
      </c>
      <c r="F12" s="9">
        <v>1000000</v>
      </c>
      <c r="G12" s="9">
        <v>1000</v>
      </c>
      <c r="H12" s="9">
        <v>100</v>
      </c>
      <c r="I12" s="9">
        <v>10</v>
      </c>
      <c r="J12" s="9">
        <v>1</v>
      </c>
      <c r="K12" s="9">
        <v>0.1</v>
      </c>
      <c r="L12" s="9">
        <v>0.01</v>
      </c>
      <c r="M12" s="9">
        <v>1E-3</v>
      </c>
      <c r="N12" s="9">
        <v>9.9999999999999995E-7</v>
      </c>
      <c r="O12" s="9">
        <v>1.0000000000000001E-9</v>
      </c>
      <c r="P12" s="9">
        <v>9.9999999999999998E-13</v>
      </c>
      <c r="Q12" s="9">
        <v>1.0000000000000001E-15</v>
      </c>
      <c r="R12" s="9">
        <v>1.0000000000000001E-18</v>
      </c>
      <c r="S12" s="12">
        <v>9.9999999999999991E-22</v>
      </c>
    </row>
    <row r="13" spans="1:19">
      <c r="A13" s="68" t="s">
        <v>96</v>
      </c>
      <c r="B13" s="66" t="s">
        <v>111</v>
      </c>
      <c r="C13" s="73" t="s">
        <v>126</v>
      </c>
      <c r="D13" s="11">
        <v>10000000000000</v>
      </c>
      <c r="E13" s="9">
        <v>10000000000</v>
      </c>
      <c r="F13" s="9">
        <v>10000000</v>
      </c>
      <c r="G13" s="9">
        <v>10000</v>
      </c>
      <c r="H13" s="9">
        <v>1000</v>
      </c>
      <c r="I13" s="9">
        <v>100</v>
      </c>
      <c r="J13" s="9">
        <v>10</v>
      </c>
      <c r="K13" s="9">
        <v>1</v>
      </c>
      <c r="L13" s="9">
        <v>0.1</v>
      </c>
      <c r="M13" s="9">
        <v>0.01</v>
      </c>
      <c r="N13" s="9">
        <v>1.0000000000000001E-5</v>
      </c>
      <c r="O13" s="9">
        <v>1E-8</v>
      </c>
      <c r="P13" s="9">
        <v>9.9999999999999994E-12</v>
      </c>
      <c r="Q13" s="9">
        <v>1E-14</v>
      </c>
      <c r="R13" s="9">
        <v>1.0000000000000001E-17</v>
      </c>
      <c r="S13" s="12">
        <v>9.9999999999999995E-21</v>
      </c>
    </row>
    <row r="14" spans="1:19">
      <c r="A14" s="68" t="s">
        <v>97</v>
      </c>
      <c r="B14" s="66" t="s">
        <v>112</v>
      </c>
      <c r="C14" s="73" t="s">
        <v>127</v>
      </c>
      <c r="D14" s="11">
        <v>100000000000000</v>
      </c>
      <c r="E14" s="9">
        <v>100000000000</v>
      </c>
      <c r="F14" s="9">
        <v>100000000</v>
      </c>
      <c r="G14" s="9">
        <v>100000</v>
      </c>
      <c r="H14" s="9">
        <v>10000</v>
      </c>
      <c r="I14" s="9">
        <v>1000</v>
      </c>
      <c r="J14" s="9">
        <v>100</v>
      </c>
      <c r="K14" s="9">
        <v>10</v>
      </c>
      <c r="L14" s="9">
        <v>1</v>
      </c>
      <c r="M14" s="9">
        <v>0.1</v>
      </c>
      <c r="N14" s="9">
        <v>1E-4</v>
      </c>
      <c r="O14" s="9">
        <v>9.9999999999999995E-8</v>
      </c>
      <c r="P14" s="9">
        <v>1E-10</v>
      </c>
      <c r="Q14" s="9">
        <v>1E-13</v>
      </c>
      <c r="R14" s="9">
        <v>9.9999999999999998E-17</v>
      </c>
      <c r="S14" s="12">
        <v>9.9999999999999998E-20</v>
      </c>
    </row>
    <row r="15" spans="1:19">
      <c r="A15" s="68" t="s">
        <v>98</v>
      </c>
      <c r="B15" s="66" t="s">
        <v>113</v>
      </c>
      <c r="C15" s="73" t="s">
        <v>128</v>
      </c>
      <c r="D15" s="11">
        <v>1000000000000000</v>
      </c>
      <c r="E15" s="9">
        <v>1000000000000</v>
      </c>
      <c r="F15" s="9">
        <v>1000000000</v>
      </c>
      <c r="G15" s="9">
        <v>1000000</v>
      </c>
      <c r="H15" s="9">
        <v>100000</v>
      </c>
      <c r="I15" s="9">
        <v>10000</v>
      </c>
      <c r="J15" s="9">
        <v>1000</v>
      </c>
      <c r="K15" s="9">
        <v>100</v>
      </c>
      <c r="L15" s="9">
        <v>10</v>
      </c>
      <c r="M15" s="9">
        <v>1</v>
      </c>
      <c r="N15" s="9">
        <v>1E-3</v>
      </c>
      <c r="O15" s="9">
        <v>9.9999999999999995E-7</v>
      </c>
      <c r="P15" s="9">
        <v>1.0000000000000001E-9</v>
      </c>
      <c r="Q15" s="9">
        <v>9.9999999999999998E-13</v>
      </c>
      <c r="R15" s="9">
        <v>1.0000000000000001E-15</v>
      </c>
      <c r="S15" s="12">
        <v>1.0000000000000001E-18</v>
      </c>
    </row>
    <row r="16" spans="1:19" ht="28.8">
      <c r="A16" s="68" t="s">
        <v>99</v>
      </c>
      <c r="B16" s="66" t="s">
        <v>114</v>
      </c>
      <c r="C16" s="73" t="s">
        <v>129</v>
      </c>
      <c r="D16" s="11">
        <v>1E+18</v>
      </c>
      <c r="E16" s="9">
        <v>1000000000000000</v>
      </c>
      <c r="F16" s="9">
        <v>1000000000000</v>
      </c>
      <c r="G16" s="9">
        <v>1000000000</v>
      </c>
      <c r="H16" s="9">
        <v>100000000</v>
      </c>
      <c r="I16" s="9">
        <v>10000000</v>
      </c>
      <c r="J16" s="9">
        <v>1000000</v>
      </c>
      <c r="K16" s="9">
        <v>100000</v>
      </c>
      <c r="L16" s="9">
        <v>10000</v>
      </c>
      <c r="M16" s="9">
        <v>1000</v>
      </c>
      <c r="N16" s="9">
        <v>1</v>
      </c>
      <c r="O16" s="9">
        <v>1E-3</v>
      </c>
      <c r="P16" s="9">
        <v>9.9999999999999995E-7</v>
      </c>
      <c r="Q16" s="9">
        <v>1.0000000000000001E-9</v>
      </c>
      <c r="R16" s="9">
        <v>9.9999999999999998E-13</v>
      </c>
      <c r="S16" s="12">
        <v>1.0000000000000001E-15</v>
      </c>
    </row>
    <row r="17" spans="1:19">
      <c r="A17" s="68" t="s">
        <v>100</v>
      </c>
      <c r="B17" s="66" t="s">
        <v>115</v>
      </c>
      <c r="C17" s="73" t="s">
        <v>130</v>
      </c>
      <c r="D17" s="11">
        <v>1E+21</v>
      </c>
      <c r="E17" s="9">
        <v>1E+18</v>
      </c>
      <c r="F17" s="9">
        <v>1000000000000000</v>
      </c>
      <c r="G17" s="9">
        <v>1000000000000</v>
      </c>
      <c r="H17" s="9">
        <v>100000000000</v>
      </c>
      <c r="I17" s="9">
        <v>10000000000</v>
      </c>
      <c r="J17" s="9">
        <v>1000000000</v>
      </c>
      <c r="K17" s="9">
        <v>100000000</v>
      </c>
      <c r="L17" s="9">
        <v>10000000</v>
      </c>
      <c r="M17" s="9">
        <v>1000000</v>
      </c>
      <c r="N17" s="9">
        <v>1000</v>
      </c>
      <c r="O17" s="9">
        <v>1</v>
      </c>
      <c r="P17" s="9">
        <v>1E-3</v>
      </c>
      <c r="Q17" s="9">
        <v>9.9999999999999995E-7</v>
      </c>
      <c r="R17" s="9">
        <v>1.0000000000000001E-9</v>
      </c>
      <c r="S17" s="12">
        <v>9.9999999999999998E-13</v>
      </c>
    </row>
    <row r="18" spans="1:19">
      <c r="A18" s="68" t="s">
        <v>101</v>
      </c>
      <c r="B18" s="66" t="s">
        <v>116</v>
      </c>
      <c r="C18" s="73" t="s">
        <v>131</v>
      </c>
      <c r="D18" s="11">
        <v>9.9999999999999998E+23</v>
      </c>
      <c r="E18" s="9">
        <v>1E+21</v>
      </c>
      <c r="F18" s="9">
        <v>1E+18</v>
      </c>
      <c r="G18" s="9">
        <v>1000000000000000</v>
      </c>
      <c r="H18" s="9">
        <v>100000000000000</v>
      </c>
      <c r="I18" s="9">
        <v>10000000000000</v>
      </c>
      <c r="J18" s="9">
        <v>1000000000000</v>
      </c>
      <c r="K18" s="9">
        <v>100000000000</v>
      </c>
      <c r="L18" s="9">
        <v>10000000000</v>
      </c>
      <c r="M18" s="9">
        <v>1000000000</v>
      </c>
      <c r="N18" s="9">
        <v>1000000</v>
      </c>
      <c r="O18" s="9">
        <v>1000</v>
      </c>
      <c r="P18" s="9">
        <v>1</v>
      </c>
      <c r="Q18" s="9">
        <v>1E-3</v>
      </c>
      <c r="R18" s="9">
        <v>9.9999999999999995E-7</v>
      </c>
      <c r="S18" s="12">
        <v>1.0000000000000001E-9</v>
      </c>
    </row>
    <row r="19" spans="1:19">
      <c r="A19" s="68" t="s">
        <v>102</v>
      </c>
      <c r="B19" s="66" t="s">
        <v>117</v>
      </c>
      <c r="C19" s="73" t="s">
        <v>132</v>
      </c>
      <c r="D19" s="11">
        <v>1E+27</v>
      </c>
      <c r="E19" s="9">
        <v>9.9999999999999998E+23</v>
      </c>
      <c r="F19" s="9">
        <v>1E+21</v>
      </c>
      <c r="G19" s="9">
        <v>1E+18</v>
      </c>
      <c r="H19" s="9">
        <v>1E+17</v>
      </c>
      <c r="I19" s="9">
        <v>1E+16</v>
      </c>
      <c r="J19" s="9">
        <v>1000000000000000</v>
      </c>
      <c r="K19" s="9">
        <v>100000000000000</v>
      </c>
      <c r="L19" s="9">
        <v>10000000000000</v>
      </c>
      <c r="M19" s="9">
        <v>1000000000000</v>
      </c>
      <c r="N19" s="9">
        <v>1000000000</v>
      </c>
      <c r="O19" s="9">
        <v>1000000</v>
      </c>
      <c r="P19" s="9">
        <v>1000</v>
      </c>
      <c r="Q19" s="9">
        <v>1</v>
      </c>
      <c r="R19" s="9">
        <v>1E-3</v>
      </c>
      <c r="S19" s="12">
        <v>9.9999999999999995E-7</v>
      </c>
    </row>
    <row r="20" spans="1:19">
      <c r="A20" s="68" t="s">
        <v>103</v>
      </c>
      <c r="B20" s="66" t="s">
        <v>118</v>
      </c>
      <c r="C20" s="73" t="s">
        <v>133</v>
      </c>
      <c r="D20" s="11">
        <v>1E+30</v>
      </c>
      <c r="E20" s="9">
        <v>1E+27</v>
      </c>
      <c r="F20" s="9">
        <v>9.9999999999999998E+23</v>
      </c>
      <c r="G20" s="9">
        <v>1E+21</v>
      </c>
      <c r="H20" s="9">
        <v>1E+20</v>
      </c>
      <c r="I20" s="9">
        <v>1E+19</v>
      </c>
      <c r="J20" s="9">
        <v>1E+18</v>
      </c>
      <c r="K20" s="9">
        <v>1E+17</v>
      </c>
      <c r="L20" s="9">
        <v>1E+16</v>
      </c>
      <c r="M20" s="9">
        <v>1000000000000000</v>
      </c>
      <c r="N20" s="9">
        <v>1000000000000</v>
      </c>
      <c r="O20" s="9">
        <v>1000000000</v>
      </c>
      <c r="P20" s="9">
        <v>1000000</v>
      </c>
      <c r="Q20" s="9">
        <v>1000</v>
      </c>
      <c r="R20" s="9">
        <v>1</v>
      </c>
      <c r="S20" s="12">
        <v>1E-3</v>
      </c>
    </row>
    <row r="21" spans="1:19" ht="15" thickBot="1">
      <c r="A21" s="69" t="s">
        <v>104</v>
      </c>
      <c r="B21" s="74" t="s">
        <v>119</v>
      </c>
      <c r="C21" s="75" t="s">
        <v>134</v>
      </c>
      <c r="D21" s="13">
        <v>9.9999999999999995E+32</v>
      </c>
      <c r="E21" s="14">
        <v>1E+30</v>
      </c>
      <c r="F21" s="14">
        <v>1E+27</v>
      </c>
      <c r="G21" s="14">
        <v>9.9999999999999998E+23</v>
      </c>
      <c r="H21" s="14">
        <v>9.9999999999999992E+22</v>
      </c>
      <c r="I21" s="14">
        <v>1E+22</v>
      </c>
      <c r="J21" s="14">
        <v>1E+21</v>
      </c>
      <c r="K21" s="14">
        <v>1E+20</v>
      </c>
      <c r="L21" s="14">
        <v>1E+19</v>
      </c>
      <c r="M21" s="14">
        <v>1E+18</v>
      </c>
      <c r="N21" s="14">
        <v>1000000000000000</v>
      </c>
      <c r="O21" s="14">
        <v>1000000000000</v>
      </c>
      <c r="P21" s="14">
        <v>1000000000</v>
      </c>
      <c r="Q21" s="14">
        <v>1000000</v>
      </c>
      <c r="R21" s="14">
        <v>1000</v>
      </c>
      <c r="S21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192</vt:i4>
      </vt:variant>
    </vt:vector>
  </HeadingPairs>
  <TitlesOfParts>
    <vt:vector size="200" baseType="lpstr">
      <vt:lpstr>Population</vt:lpstr>
      <vt:lpstr>Economy</vt:lpstr>
      <vt:lpstr>Labour</vt:lpstr>
      <vt:lpstr>Energy</vt:lpstr>
      <vt:lpstr>Land</vt:lpstr>
      <vt:lpstr>Stressors</vt:lpstr>
      <vt:lpstr>Climate</vt:lpstr>
      <vt:lpstr>Units</vt:lpstr>
      <vt:lpstr>Aerosol_cloud_interactions</vt:lpstr>
      <vt:lpstr>Aerosol_radiation_interactions</vt:lpstr>
      <vt:lpstr>AGE_BY_COHORT</vt:lpstr>
      <vt:lpstr>AIR_POLLUTION_SECTORIAL_INTENSITY</vt:lpstr>
      <vt:lpstr>ALPHA_BIRTH_RATE</vt:lpstr>
      <vt:lpstr>Aragonite_saturation_correction_factor</vt:lpstr>
      <vt:lpstr>area</vt:lpstr>
      <vt:lpstr>BETA_0_BIRTH_RATE_UNDER_SUBSISTENCE</vt:lpstr>
      <vt:lpstr>BETA_0_MORTALITY_RATE</vt:lpstr>
      <vt:lpstr>BETA_1_BIRTH_RATE</vt:lpstr>
      <vt:lpstr>BETA_1_BIRTH_RATE_UNDER_SUBSISTENCE</vt:lpstr>
      <vt:lpstr>BETA_1_MORTALITY_RATE</vt:lpstr>
      <vt:lpstr>BETA_2_BIRTH_RATE</vt:lpstr>
      <vt:lpstr>Biomass_Res_Time</vt:lpstr>
      <vt:lpstr>Biostim_coeff_index</vt:lpstr>
      <vt:lpstr>Biostim_coeff_mean</vt:lpstr>
      <vt:lpstr>Buff_C_Coeff</vt:lpstr>
      <vt:lpstr>C_in_permafrost</vt:lpstr>
      <vt:lpstr>CF4_molar_mass</vt:lpstr>
      <vt:lpstr>CH4_Generation_Rate_from_Biomass</vt:lpstr>
      <vt:lpstr>CH4_Generation_Rate_from_Humus</vt:lpstr>
      <vt:lpstr>CH4_molar_mass</vt:lpstr>
      <vt:lpstr>CH4_N20_inter_exp</vt:lpstr>
      <vt:lpstr>CH4_N20_inter_exp_2</vt:lpstr>
      <vt:lpstr>CH4_N2O_inter_coef_2</vt:lpstr>
      <vt:lpstr>CH4_N2O_inter_coef_3</vt:lpstr>
      <vt:lpstr>CH4_N2O_interaction_coeffient</vt:lpstr>
      <vt:lpstr>CH4_N2O_unit_adj</vt:lpstr>
      <vt:lpstr>CH4_radiative_efficiency_coefficient</vt:lpstr>
      <vt:lpstr>Climate!CH4_reference_conc</vt:lpstr>
      <vt:lpstr>CO2_Rad_Force_C_ROADS</vt:lpstr>
      <vt:lpstr>CONSUMPTION_PER_CAPITA_1</vt:lpstr>
      <vt:lpstr>CONSUMPTION_PER_CAPITA_2</vt:lpstr>
      <vt:lpstr>CONSUMPTION_PER_CAPITA_3</vt:lpstr>
      <vt:lpstr>CONSUMPTION_PER_CAPITA_IN_SUBSISTENCE</vt:lpstr>
      <vt:lpstr>CONSUMPTION_SHARE_1</vt:lpstr>
      <vt:lpstr>CONSUMPTION_SHARE_2</vt:lpstr>
      <vt:lpstr>CONSUMPTION_SHARE_3</vt:lpstr>
      <vt:lpstr>Contrails_and_aviation_induced_cirrus</vt:lpstr>
      <vt:lpstr>CONVERSION_FACTOR_MONETARY_TO_ENERGY</vt:lpstr>
      <vt:lpstr>CONVERSION_FACTOR_MONETARY_TO_NON_ENERGY_USE_OF_FOSSIL_FUELS</vt:lpstr>
      <vt:lpstr>CONVERSION_FROM_FINAL_ENERGY_TO_PRIMARY_ENERGY_FOSSIL_FUELS</vt:lpstr>
      <vt:lpstr>CONVERSION_FROM_FINAL_ENERGY_TO_PRIMARY_ENERGY_URANIUM</vt:lpstr>
      <vt:lpstr>CONVERSION_FROM_FOSSIL_ELECTRICITY_TO_PRIMARY_ENERGY_FOSSIL_FUELS</vt:lpstr>
      <vt:lpstr>CORRECTION_CHEMICAL_AND_FERTILIZER_MINERALS</vt:lpstr>
      <vt:lpstr>CORRECTION_P_SOIL</vt:lpstr>
      <vt:lpstr>days_per_year</vt:lpstr>
      <vt:lpstr>density</vt:lpstr>
      <vt:lpstr>DISPOSABLE_LAND</vt:lpstr>
      <vt:lpstr>Eddy_diff_coeff_index</vt:lpstr>
      <vt:lpstr>Eddy_diff_mean</vt:lpstr>
      <vt:lpstr>FOSSIL_FUEL_EMISSIONS_INTENSITY</vt:lpstr>
      <vt:lpstr>GOVERNMENT_CONSUMPTION_AS_SHARE_OF_HOUSEHOLDS_CONSUMPTION_PER_EACH_CONSUMPTION_PER_CAPITA</vt:lpstr>
      <vt:lpstr>GREENHOUSE_GAS_EMISSIONS_INTENSITY</vt:lpstr>
      <vt:lpstr>GtC_PER_ppm</vt:lpstr>
      <vt:lpstr>GWP_100</vt:lpstr>
      <vt:lpstr>Heat_Diffusion_Covar</vt:lpstr>
      <vt:lpstr>Heat_Transfer_Rate</vt:lpstr>
      <vt:lpstr>HFC_molar_mass</vt:lpstr>
      <vt:lpstr>HFC_radiative_efficiency</vt:lpstr>
      <vt:lpstr>Humification_Fraction</vt:lpstr>
      <vt:lpstr>Humus_Res_Time</vt:lpstr>
      <vt:lpstr>INDUSTRIAL_ROUNDWOOD_INTENSITY</vt:lpstr>
      <vt:lpstr>INFRAESTRUCTURE_LAND_INTENSITY</vt:lpstr>
      <vt:lpstr>init_Atmos_UOcean_Temp</vt:lpstr>
      <vt:lpstr>Init_C_in_Biomass</vt:lpstr>
      <vt:lpstr>Init_C_in_Deep_Ocean_per_meter</vt:lpstr>
      <vt:lpstr>Init_C_in_Humus</vt:lpstr>
      <vt:lpstr>Init_C_in_Mixed_Ocean_per_meter</vt:lpstr>
      <vt:lpstr>init_CO2_in_Atmos_ppm</vt:lpstr>
      <vt:lpstr>Init_Deep_Ocean_Temp</vt:lpstr>
      <vt:lpstr>Init_NPP</vt:lpstr>
      <vt:lpstr>Init_PFC_in_Atm</vt:lpstr>
      <vt:lpstr>INITIAL_A_MATRIX</vt:lpstr>
      <vt:lpstr>INITIAL_CAPITAL_INTENSITY</vt:lpstr>
      <vt:lpstr>INITIAL_CAPITAL_STOCK</vt:lpstr>
      <vt:lpstr>Initial_CH4_conc</vt:lpstr>
      <vt:lpstr>INITIAL_CONSUMPTION_PER_CAPITA</vt:lpstr>
      <vt:lpstr>INITIAL_DEPRECIATION_BY_SECTOR</vt:lpstr>
      <vt:lpstr>INITIAL_FOREST_LAND</vt:lpstr>
      <vt:lpstr>Initial_HFC_con</vt:lpstr>
      <vt:lpstr>INITIAL_LABOUR_INTENSITY</vt:lpstr>
      <vt:lpstr>Initial_N2O_conc</vt:lpstr>
      <vt:lpstr>INITIAL_OUTPUT</vt:lpstr>
      <vt:lpstr>INITIAL_POPULATION</vt:lpstr>
      <vt:lpstr>INITIAL_POPULATION_IN_FORMAL_ECONOMY</vt:lpstr>
      <vt:lpstr>INITIAL_POPULATION_IN_SUBSISTENCE</vt:lpstr>
      <vt:lpstr>INITIAL_SECTORIAL_LANDS_INTENSITIES</vt:lpstr>
      <vt:lpstr>Initial_SF6_con</vt:lpstr>
      <vt:lpstr>initial_SLR_2019</vt:lpstr>
      <vt:lpstr>INITIAL_USED_FOREST</vt:lpstr>
      <vt:lpstr>INVESTMENT_SPEED_PARAMETER</vt:lpstr>
      <vt:lpstr>land_area_fraction</vt:lpstr>
      <vt:lpstr>land_thickness</vt:lpstr>
      <vt:lpstr>Land_use</vt:lpstr>
      <vt:lpstr>LAND_USE_CHANGE_EMISSIONS_INTENSITY</vt:lpstr>
      <vt:lpstr>Layer_Depth_Layers</vt:lpstr>
      <vt:lpstr>Layer1</vt:lpstr>
      <vt:lpstr>Layer1_temp</vt:lpstr>
      <vt:lpstr>Layer2</vt:lpstr>
      <vt:lpstr>Layer2_temp</vt:lpstr>
      <vt:lpstr>Layer3</vt:lpstr>
      <vt:lpstr>Layer3_temp</vt:lpstr>
      <vt:lpstr>Layer4</vt:lpstr>
      <vt:lpstr>Layer4_temp</vt:lpstr>
      <vt:lpstr>LOG_ALPHA_BIRTH_RATE</vt:lpstr>
      <vt:lpstr>LOG_ALPHA_MORTALITY_RATE</vt:lpstr>
      <vt:lpstr>Lower_threshold_PBI_biogeochemical_flows_nitrogen</vt:lpstr>
      <vt:lpstr>Lower_threshold_PBI_biogeochemical_flows_phosphurus</vt:lpstr>
      <vt:lpstr>Lower_threshold_PBI_biosphere_integrity</vt:lpstr>
      <vt:lpstr>Lower_threshold_PBI_Climate_CO2_concentration</vt:lpstr>
      <vt:lpstr>Lower_threshold_PBI_Climate_CO2_radiative_forcing</vt:lpstr>
      <vt:lpstr>Lower_threshold_PBI_land_system_change</vt:lpstr>
      <vt:lpstr>Lower_threshold_PBI_novel_entities</vt:lpstr>
      <vt:lpstr>Lower_threshold_PBI_ocean_acidification</vt:lpstr>
      <vt:lpstr>Lower_threshold_PBI_ozone</vt:lpstr>
      <vt:lpstr>mass_heat_cap</vt:lpstr>
      <vt:lpstr>MATERIAL_EXTRACTION_INTENSITY_UNUSED</vt:lpstr>
      <vt:lpstr>MATERIAL_EXTRACTION_INTENSITY_USED</vt:lpstr>
      <vt:lpstr>MATRIX_UNITS_PREFIXES</vt:lpstr>
      <vt:lpstr>Mixed_Depth</vt:lpstr>
      <vt:lpstr>Mixing_Time</vt:lpstr>
      <vt:lpstr>N2O_N_molar_mass</vt:lpstr>
      <vt:lpstr>N2O_radiative_efficiency_coefficient</vt:lpstr>
      <vt:lpstr>N2O_reference_conc</vt:lpstr>
      <vt:lpstr>Natural_N2O_emissions</vt:lpstr>
      <vt:lpstr>NITROGEN_AND_PHOSPHORUS_POLLUTION_INTENSITY_OF_AGRICULTURE</vt:lpstr>
      <vt:lpstr>Other_halocarbon</vt:lpstr>
      <vt:lpstr>Ozone</vt:lpstr>
      <vt:lpstr>PFC_radiative_efficiency</vt:lpstr>
      <vt:lpstr>pH_constant_1</vt:lpstr>
      <vt:lpstr>pH_constant_2</vt:lpstr>
      <vt:lpstr>pH_constant_3</vt:lpstr>
      <vt:lpstr>pH_constant_4</vt:lpstr>
      <vt:lpstr>ppt_per_mol</vt:lpstr>
      <vt:lpstr>ppt_per_ppb</vt:lpstr>
      <vt:lpstr>Climate!pre_industrial_value_ppm</vt:lpstr>
      <vt:lpstr>Prefix_units</vt:lpstr>
      <vt:lpstr>Preind_Ocean_C_per_meter</vt:lpstr>
      <vt:lpstr>preindustrial_C</vt:lpstr>
      <vt:lpstr>Preindustrial_CH4</vt:lpstr>
      <vt:lpstr>Preindustrial_HFC_conc</vt:lpstr>
      <vt:lpstr>Preindustrial_PFC_conc</vt:lpstr>
      <vt:lpstr>Preindustrial_SF6_conc</vt:lpstr>
      <vt:lpstr>Ref_Buffer_Factor</vt:lpstr>
      <vt:lpstr>Reference_CH4_time_constant</vt:lpstr>
      <vt:lpstr>Reference_Temperature</vt:lpstr>
      <vt:lpstr>Reference_Temperature_Change_for_Effect_of_Warming_on_CH4_from_Respiration</vt:lpstr>
      <vt:lpstr>seconds_per_day</vt:lpstr>
      <vt:lpstr>Sensitivity_of_pCO2_DIC_to_Temperature_Mean</vt:lpstr>
      <vt:lpstr>Sensitivity_of_Sea_Level_Rise_to_Temperature</vt:lpstr>
      <vt:lpstr>Sensitivity_of_SLR_rate_to_temp_rate</vt:lpstr>
      <vt:lpstr>SF6_molar_mass</vt:lpstr>
      <vt:lpstr>SF6_radiative_efficiency</vt:lpstr>
      <vt:lpstr>SHARE_FOSSIL_ENERGY_IN_FOSSIL_ELECTRICITY</vt:lpstr>
      <vt:lpstr>SHARE_OF_EACH_SECTOR_IN_GOVERNMENT_CONSUMPTION</vt:lpstr>
      <vt:lpstr>SHARE_OF_EACH_SECTOR_IN_GROSS_FIXED_CAPITAL_FOMATION</vt:lpstr>
      <vt:lpstr>specific_heat_capacity_water</vt:lpstr>
      <vt:lpstr>Stratospheric_CH4_path_share</vt:lpstr>
      <vt:lpstr>Stratospheric_water_vapour</vt:lpstr>
      <vt:lpstr>Strength_of_temp_effect_on_land_C_flux_mean</vt:lpstr>
      <vt:lpstr>SUBSISTENCE_LAND_INTENSITY</vt:lpstr>
      <vt:lpstr>Surface_albedo</vt:lpstr>
      <vt:lpstr>Temp_adjustment_for_SLR</vt:lpstr>
      <vt:lpstr>Time_Const_for_HFC</vt:lpstr>
      <vt:lpstr>Time_Const_for_N2O</vt:lpstr>
      <vt:lpstr>Time_Const_for_PFC</vt:lpstr>
      <vt:lpstr>Time_Const_for_SF6</vt:lpstr>
      <vt:lpstr>Time_to_Commit_RF</vt:lpstr>
      <vt:lpstr>Tropospheric_CH4_path_share</vt:lpstr>
      <vt:lpstr>UNIT_CONVERSION_C_CO2</vt:lpstr>
      <vt:lpstr>UNIT_CONVERSION_CH4_C</vt:lpstr>
      <vt:lpstr>Upper_threshold_PBI_biogeochemical_flows_nitrogen</vt:lpstr>
      <vt:lpstr>Upper_threshold_PBI_biogeochemical_flows_phosphurus</vt:lpstr>
      <vt:lpstr>Upper_threshold_PBI_biosphere_integrity</vt:lpstr>
      <vt:lpstr>Upper_threshold_PBI_Climate_CO2_concentration</vt:lpstr>
      <vt:lpstr>Upper_threshold_PBI_Climate_CO2_radiative_forcing</vt:lpstr>
      <vt:lpstr>Upper_threshold_PBI_land_system_change</vt:lpstr>
      <vt:lpstr>Upper_threshold_PBI_novel_entities</vt:lpstr>
      <vt:lpstr>Upper_threshold_PBI_ocean_acidification</vt:lpstr>
      <vt:lpstr>Upper_threshold_PBI_ozone</vt:lpstr>
      <vt:lpstr>WATER_CONSUMPTION_INTENSITY_OF_HOUSEHOLDS</vt:lpstr>
      <vt:lpstr>water_density</vt:lpstr>
      <vt:lpstr>WATER_INDUSTRIAL_INTENSITY</vt:lpstr>
      <vt:lpstr>WATER_WITHDRAWAL_INDUSTRIAL_INTENSITY</vt:lpstr>
      <vt:lpstr>WATER_WITHDRAWAL_INTENSITY_OF_HOUSEHOLD</vt:lpstr>
      <vt:lpstr>watt_per_J_s</vt:lpstr>
      <vt:lpstr>WEIGHTS_FOR_LAND_SYSTEM_CHANGE</vt:lpstr>
      <vt:lpstr>Y0_BIRTH_RATE</vt:lpstr>
      <vt:lpstr>Y0_MORTALITY_RATE</vt:lpstr>
      <vt:lpstr>YF_BIRTH_RATE</vt:lpstr>
      <vt:lpstr>YF_MORTALITY_RATE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LuisLlases</dc:creator>
  <cp:lastModifiedBy>LUIS LLASES GONZALEZ</cp:lastModifiedBy>
  <dcterms:created xsi:type="dcterms:W3CDTF">2015-06-05T18:17:20Z</dcterms:created>
  <dcterms:modified xsi:type="dcterms:W3CDTF">2026-04-15T11:28:52Z</dcterms:modified>
</cp:coreProperties>
</file>