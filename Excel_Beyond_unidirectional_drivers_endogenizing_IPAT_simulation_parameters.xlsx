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1_MORDRED_PROJECT\3_model_exploitation_251028\PAPER3_IPAT\writing\"/>
    </mc:Choice>
  </mc:AlternateContent>
  <xr:revisionPtr revIDLastSave="0" documentId="13_ncr:1_{5F11FC0E-20BF-4D6D-AEE9-0BBF0713248C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Suppl.Table.1" sheetId="11" r:id="rId1"/>
    <sheet name="Suppl. Figures" sheetId="12" r:id="rId2"/>
    <sheet name="Population" sheetId="1" r:id="rId3"/>
    <sheet name="Economy" sheetId="2" r:id="rId4"/>
    <sheet name="Labour" sheetId="3" r:id="rId5"/>
    <sheet name="Energy" sheetId="7" r:id="rId6"/>
    <sheet name="Land" sheetId="4" r:id="rId7"/>
    <sheet name="Climate" sheetId="10" r:id="rId8"/>
    <sheet name="Switches" sheetId="9" r:id="rId9"/>
  </sheets>
  <definedNames>
    <definedName name="A_2019_biophyiscal">#REF!</definedName>
    <definedName name="A_2019_biophysical">#REF!</definedName>
    <definedName name="A_2019_P">#REF!</definedName>
    <definedName name="A_2019_PR">#REF!</definedName>
    <definedName name="A_2019_PRG">#REF!</definedName>
    <definedName name="A_2100">#REF!</definedName>
    <definedName name="A_MATRIX_2060">Economy!#REF!</definedName>
    <definedName name="A_MATRIX_2100">Economy!$B$6:$Z$30</definedName>
    <definedName name="A2019_PRGE">#REF!</definedName>
    <definedName name="ALPHA_DAMAGE_LABOUR_PRODUCTIVITY">Labour!#REF!</definedName>
    <definedName name="ALPHA_DAMAGE_LABOUR_SUPPLY">Labour!#REF!</definedName>
    <definedName name="ALPHA_DEPENDENT_POPULATION">Population!$D$12</definedName>
    <definedName name="ALPHA_LAND_SUBSISTENCE_DAMAGE">Land!#REF!</definedName>
    <definedName name="ALPHA_OUTPUT_LOSSES_A_MATRIX">Economy!#REF!</definedName>
    <definedName name="ALPHA_SUPPORTING_INDUSTRY">Population!$D$13</definedName>
    <definedName name="Amatrix_2019">#REF!</definedName>
    <definedName name="AMOUNT_OF_LAND_TO_PROTECT">Land!#REF!</definedName>
    <definedName name="ANNUAL_WORKING_HOURS">Labour!$C$10</definedName>
    <definedName name="BETA_0_EXTRACTION">Energy!$D$15</definedName>
    <definedName name="BETA_0_FORMAL_ECONOMY_TO_SUBSISTENCE">Population!$D$6</definedName>
    <definedName name="BETA_1_EXTRACTION">Energy!$D$16</definedName>
    <definedName name="BETA_1_FORMAL_ECONOMY_TO_SUBSISTENCE">Population!$D$7</definedName>
    <definedName name="BETA_1_SUBSISTENCE_TO_FORMAL_ECONOMY">Population!$D$5</definedName>
    <definedName name="BETA_2_SSP">Economy!#REF!</definedName>
    <definedName name="BETA_3_SSP">Economy!#REF!</definedName>
    <definedName name="BETA_OUTPUT_LOSSES_A_MATRIX">Economy!#REF!</definedName>
    <definedName name="BETA1_SSP">Economy!#REF!</definedName>
    <definedName name="CAPITAL_INTENSITY_2100">Economy!$D$130:$AB$130</definedName>
    <definedName name="consumption_vectors_2019">#REF!</definedName>
    <definedName name="CV_2019_RG">#REF!</definedName>
    <definedName name="CV_2100">#REF!</definedName>
    <definedName name="CV_2100_not_weighted">#REF!</definedName>
    <definedName name="CV_biophyiscal">#REF!</definedName>
    <definedName name="CV_RGE">#REF!</definedName>
    <definedName name="CV2019_biophysical">#REF!</definedName>
    <definedName name="CV2019_R">#REF!</definedName>
    <definedName name="CV2100_final">#REF!</definedName>
    <definedName name="DESIRED_CONSUMPTION_GROWTH_RATE_SP">Economy!$D$64:$F$66</definedName>
    <definedName name="Electrification_potential">#REF!</definedName>
    <definedName name="energy_improvement_factor">#REF!</definedName>
    <definedName name="Equilibrium_climate_sensitivity">#REF!</definedName>
    <definedName name="Final_energy_intensities">#REF!</definedName>
    <definedName name="Final_energy_intensities_2019">#REF!</definedName>
    <definedName name="from_distribution_excel_sheet">#REF!</definedName>
    <definedName name="G">#REF!</definedName>
    <definedName name="G_reduction_lot_ff">#REF!</definedName>
    <definedName name="G_reduction_lot_nuc">#REF!</definedName>
    <definedName name="GAMMA_OUTPUT_LOSSES_A_MATRIX">Economy!#REF!</definedName>
    <definedName name="growth_rate_consumption_per_class">#REF!</definedName>
    <definedName name="infrastructure_intensity_2019">#REF!</definedName>
    <definedName name="INITIAL_RECOVERABLE_RESOURCES_OF_FOSSIL_FUELS">Energy!$D$10</definedName>
    <definedName name="MAXIMUM_DEPRECIATION_RATE_CAUSED_BY_SEA_LEVEL_RISE_2°C_SP">Economy!#REF!</definedName>
    <definedName name="MAXIMUM_DEPRECIATION_RATE_CAUSED_BY_SEA_LEVEL_RISE_3°C_SP">Economy!#REF!</definedName>
    <definedName name="MAXIMUM_DEPRECIATION_RATE_CAUSED_BY_SEA_LEVEL_RISE_4°C_SP">Economy!#REF!</definedName>
    <definedName name="MAXIMUM_FOODLAND_LOSS_CAUSED_BY_CLIMATE_CHANGE">Land!#REF!</definedName>
    <definedName name="MAXIMUM_LAND_LOSS_CAUSED_BY_CLIMATE_CHANGE">Land!#REF!</definedName>
    <definedName name="MAXIMUM_PARTICIPATION_RATE_SP">Labour!$C$18</definedName>
    <definedName name="MAXIMUM_SHARE_OF_EXTRACTABLE_FOSSIL_FUEL_RESOURCES_PER_YEAR_SP">Energy!$C$5</definedName>
    <definedName name="other_land_improvement_factor">#REF!</definedName>
    <definedName name="other_land_intensity_center_2019">#REF!</definedName>
    <definedName name="OUTPUT_LOSSES_FACTOR">Economy!#REF!</definedName>
    <definedName name="PEXTRA_DEMAND_MP">Economy!$D$81:$P$81</definedName>
    <definedName name="PEXTRA_FOODLAND_FOREST_MP">Land!#REF!</definedName>
    <definedName name="PEXTRA_LAND_MP">Land!$D$16:$L$16</definedName>
    <definedName name="PEXTRA_REST_OF_THE_LANDS_MP">Land!#REF!</definedName>
    <definedName name="PPRIORITY_DEMAND_MP">Economy!$D$79:$P$79</definedName>
    <definedName name="PPRIORITY_FOODLAND_FOREST_MP">Land!#REF!</definedName>
    <definedName name="PPRIORITY_LAND_MP">Land!$D$14:$L$14</definedName>
    <definedName name="PPRIORITY_REST_OF_THE_LANDS_MP">Land!#REF!</definedName>
    <definedName name="PPRIORIY_PROTECTION_LAND_SP">Land!#REF!</definedName>
    <definedName name="process_efficiency_coefficient">#REF!</definedName>
    <definedName name="PTYPE_DEMAND_MP">Economy!$D$78:$P$78</definedName>
    <definedName name="PTYPE_FOODLAND_FOREST_MP">Land!#REF!</definedName>
    <definedName name="PTYPE_LAND_MP">Land!$D$13:$L$13</definedName>
    <definedName name="PTYPE_REST_OF_THE_LANDS_MP">Land!#REF!</definedName>
    <definedName name="PWIDTH_DEMAND_MP">Economy!$D$80:$P$80</definedName>
    <definedName name="PWIDTH_FOODLAND_FOREST_MP">Land!#REF!</definedName>
    <definedName name="PWIDTH_LAND_MP">Land!$D$15:$L$15</definedName>
    <definedName name="PWIDTH_REST_OF_THE_LANDS_MP">Land!#REF!</definedName>
    <definedName name="Reference_Sensitivity_of_C_from_Permafrost_and_Clathrate_to_Temperature">#REF!</definedName>
    <definedName name="Reference_Sensitivity_of_CH4_from_Permafrost_and_Clathrate_to_Temperature">#REF!</definedName>
    <definedName name="SECTORAL_SHARES_OF_DAMAGES_IN_CAPITAL_STOCK">Economy!#REF!</definedName>
    <definedName name="Sensitivity_of_C_Uptake_to_Temperature">Switches!$B$19</definedName>
    <definedName name="Sensitivity_of_Methane_Emissions_to_Permafrost_and_Clathrate">Switches!$B$21</definedName>
    <definedName name="Sensitivity_of_Methane_Emissions_to_Temperature">Switches!$B$20</definedName>
    <definedName name="SIGMA_SLR_SP">Economy!#REF!</definedName>
    <definedName name="SWITCH_DAMAGES_ON_LABOUR_PRODUCTIVITY_BY_HEAT_SP">Switches!$B$15</definedName>
    <definedName name="SWITCH_DEPRECIATION_RATE_CAUSED_BY_CLIMATE_CHANGE_SP">Switches!$B$12</definedName>
    <definedName name="SWITCH_DEPRECIATION_RATE_CAUSED_BY_SEA_LEVEL_RISE_SP">Switches!$B$13</definedName>
    <definedName name="SWITCH_FOSSIL_FUELS_EXTRACTION_DIFFICULTY_FACTOR_SP">Switches!$B$10</definedName>
    <definedName name="SWITCH_FOSSIL_FUELS_RATIONING_SCARCITY_FACTOR">Switches!$B$9</definedName>
    <definedName name="SWITCH_GROWTH_SLOWDOWN_SP">Switches!$B$7</definedName>
    <definedName name="SWITCH_LABOUR_SCARCITY_FACTOR">Switches!$B$8</definedName>
    <definedName name="SWITCH_LAND_LOSS_CAUSED_BY_CLIMATE_CHANGE_SP">Switches!$B$17</definedName>
    <definedName name="SWITCH_LAND_SCARCITY_FACTOR_SP">Switches!$B$11</definedName>
    <definedName name="SWITCH_LOSSES_LABOUR_SUPPLY_BY_HEAT_SP">Switches!$B$16</definedName>
    <definedName name="SWITCH_OUTPUT_LOSS_FACTOR_SP">Switches!$B$14</definedName>
    <definedName name="SWITCH_SSP_SECTORS_VARIATION_FACTOR">Switches!#REF!</definedName>
    <definedName name="SWITCH_SUBSISTENCE_LAND_INTENSITY_DUE_TO_CLIMATE_CHANGE_SP">Switches!$B$18</definedName>
    <definedName name="TARGET_AIR_POLLUTION_SECTORIAL_INTENSITY">#REF!</definedName>
    <definedName name="target_capital_intensity_2100">#REF!</definedName>
    <definedName name="TARGET_CONSUMPTION_SHARE_1">Economy!$E$110:$AC$110</definedName>
    <definedName name="TARGET_CONSUMPTION_SHARE_2">Economy!$E$112:$AC$112</definedName>
    <definedName name="TARGET_CONSUMPTION_SHARE_3">Economy!$E$114:$AC$114</definedName>
    <definedName name="TARGET_GREENHOUSE_GAS_EMISSIONS_INTENSITY">#REF!</definedName>
    <definedName name="target_labor_intensity_2100">#REF!</definedName>
    <definedName name="TARGET_LABOUR_INTENSITY">Labour!$D$5:$AB$5</definedName>
    <definedName name="target_land_intensities_energyland">#REF!</definedName>
    <definedName name="TARGET_LAND_INTENSITIES_SP">Land!$D$5:$AB$8</definedName>
    <definedName name="TARGET_NITROGEN_AND_PHOSPHORUS_POLLUTION_INTENSITY_OF_AGRICULTURE_SP">#REF!</definedName>
    <definedName name="TARGET_SHARE_OF_EACH_SECTOR_IN_GOVERNMENT_CONSUMPTION_SP">Economy!$C$86:$AA$86</definedName>
    <definedName name="TARGET_SHARE_OF_EACH_SECTOR_IN_GROSS_FIXED_CAPITAL_FOMATION">Economy!$C$104:$AA$104</definedName>
    <definedName name="TARGET_SUBSISTENCE_LAND_INTENSITY">Land!#REF!</definedName>
    <definedName name="TARGET_WATER_CONSUMPTION_INDUSTRIAL_INTENSITY_SP">#REF!</definedName>
    <definedName name="TARGET_WATER_CONSUMPTION_INTENSITY_OF_HOUSEHOLDS_SP">#REF!</definedName>
    <definedName name="TARGET_WATER_WITHDRAWAL_INDUSTRIAL_INTENSITY_SP">#REF!</definedName>
    <definedName name="TARGET_WATER_WITHDRAWAL_INTENSITY_OF_HOUSEHOLD_SP">#REF!</definedName>
    <definedName name="Temperature_Threshold_for_Methane_Emissions_from_Permafrost_and_Clathrate">#REF!</definedName>
    <definedName name="TOTAL_EXTRA_INVESTMENT_DUE_TO_SEA_LEVEL_RISE">Economy!#REF!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4" l="1"/>
  <c r="C10" i="3" l="1"/>
</calcChain>
</file>

<file path=xl/sharedStrings.xml><?xml version="1.0" encoding="utf-8"?>
<sst xmlns="http://schemas.openxmlformats.org/spreadsheetml/2006/main" count="445" uniqueCount="216">
  <si>
    <t>sectors</t>
  </si>
  <si>
    <t>CONSUMPTION GROWTH RATE</t>
  </si>
  <si>
    <t>Description</t>
  </si>
  <si>
    <t>Units</t>
  </si>
  <si>
    <t>High</t>
  </si>
  <si>
    <t>Medium</t>
  </si>
  <si>
    <t>Low</t>
  </si>
  <si>
    <t>Consumption per capita</t>
  </si>
  <si>
    <t>Center</t>
  </si>
  <si>
    <t>Periphery</t>
  </si>
  <si>
    <t>Semiperiphery</t>
  </si>
  <si>
    <t>Labour intensity</t>
  </si>
  <si>
    <t>TARGET INTENSITIES</t>
  </si>
  <si>
    <t>Ptype</t>
  </si>
  <si>
    <t>dmnl</t>
  </si>
  <si>
    <t>Ppriority</t>
  </si>
  <si>
    <t>Pwidth</t>
  </si>
  <si>
    <t>Pextra</t>
  </si>
  <si>
    <t>Investment</t>
  </si>
  <si>
    <t>Government center</t>
  </si>
  <si>
    <t>Government semiperiphery</t>
  </si>
  <si>
    <t>Government periphery</t>
  </si>
  <si>
    <t>Consumption center high</t>
  </si>
  <si>
    <t>Consumption center medium</t>
  </si>
  <si>
    <t>Consumption center low</t>
  </si>
  <si>
    <t>Consumption semiperiphery high</t>
  </si>
  <si>
    <t>Consumption semiperiphery medium</t>
  </si>
  <si>
    <t>Consumption semiperiphery low</t>
  </si>
  <si>
    <t>Consumption periphery high</t>
  </si>
  <si>
    <t>Consumption periphery low</t>
  </si>
  <si>
    <t>Consumption periphery medium</t>
  </si>
  <si>
    <t>PARAMETERS ALLOCATE FINAL DEMAND</t>
  </si>
  <si>
    <t>Parameters of the ALLOCATE function which is used to distribute total final demand by the different demand components.</t>
  </si>
  <si>
    <t>TARGET LAND INTENSITIES</t>
  </si>
  <si>
    <t>shrub</t>
  </si>
  <si>
    <t>infrastructure</t>
  </si>
  <si>
    <t>food_land_capitalism</t>
  </si>
  <si>
    <t>food_land_subsistence</t>
  </si>
  <si>
    <t>primary_forest</t>
  </si>
  <si>
    <t>secondary_forest</t>
  </si>
  <si>
    <t>other_land</t>
  </si>
  <si>
    <t>Capital intensity</t>
  </si>
  <si>
    <t>Maximum share of extractable fossil fuel resources per year</t>
  </si>
  <si>
    <t>LIMITS TO THE EXTRACTION OF FOSSIL RESOURCES</t>
  </si>
  <si>
    <t>Value</t>
  </si>
  <si>
    <t>forest_land</t>
  </si>
  <si>
    <t>PARAMETERS ALLOCATE LAND</t>
  </si>
  <si>
    <t>ANNUAL WORKING HOURS</t>
  </si>
  <si>
    <t>annual working hours per person</t>
  </si>
  <si>
    <t>max hours per day</t>
  </si>
  <si>
    <t>max days per week</t>
  </si>
  <si>
    <t>weeks per year</t>
  </si>
  <si>
    <t>MAXIMUM PARTICIPATION RATE</t>
  </si>
  <si>
    <t>Maximum participation rate</t>
  </si>
  <si>
    <t>MOBILITY PARAMETERS BETWEEN SUBSISTENCE AND FORMAL ECONOMY</t>
  </si>
  <si>
    <t>Beta 1 subsistence to formal economy</t>
  </si>
  <si>
    <t>Dmnl</t>
  </si>
  <si>
    <t>Beta 0 formal economy to subsistence</t>
  </si>
  <si>
    <t>Beta 1 formal economy to subsistence</t>
  </si>
  <si>
    <t>Values</t>
  </si>
  <si>
    <t>RECOVERABLE RESOURCES IN 2019</t>
  </si>
  <si>
    <t>EJ</t>
  </si>
  <si>
    <t>PARAMETERS OF EXTRACTION COST FUNCTION</t>
  </si>
  <si>
    <t>Beta 0 extraction</t>
  </si>
  <si>
    <t>Beta 1 extraction</t>
  </si>
  <si>
    <t>TARGET CAPITAL INTENSITIES</t>
  </si>
  <si>
    <t>Consumption share</t>
  </si>
  <si>
    <t>Share of total consumption corresponding to the different sectors according to consumption level.</t>
  </si>
  <si>
    <t>Switch fossil fuels extraction difficulty factor</t>
  </si>
  <si>
    <t>Switch land scarcity factor</t>
  </si>
  <si>
    <t>Switch labour scarcity factor</t>
  </si>
  <si>
    <t>Switch capital depreciation caused by climate change</t>
  </si>
  <si>
    <t>Switch damages by sea level rise</t>
  </si>
  <si>
    <t>Switch output loss factor</t>
  </si>
  <si>
    <t>Switch damages on labour productivity due to heat</t>
  </si>
  <si>
    <t>Switch labour supply losses by heat</t>
  </si>
  <si>
    <t>Switch land losses caused by climate change</t>
  </si>
  <si>
    <t>Switch subsistence land intensity due to climate change</t>
  </si>
  <si>
    <t>Switch fossil fuels rationing scarcity factor</t>
  </si>
  <si>
    <t>PARAMETERS URBANIZATION INDICATOR</t>
  </si>
  <si>
    <t>Alpha dependent population</t>
  </si>
  <si>
    <t>Alpha supporting industry</t>
  </si>
  <si>
    <t>A MATRIX 2100</t>
  </si>
  <si>
    <t>RELATION 1 (peri)</t>
  </si>
  <si>
    <t>RELATION 2 (semi)</t>
  </si>
  <si>
    <t>RELATION 3 (center)</t>
  </si>
  <si>
    <t>Switch growth slowdown</t>
  </si>
  <si>
    <t>TARGET CONSUMPTION VECTOR GOVERNMENTS</t>
  </si>
  <si>
    <t>Target government consumption vector</t>
  </si>
  <si>
    <t>TARGET CONSUMPTION VECTOR GFCF</t>
  </si>
  <si>
    <t>Target GFCF consumption vector</t>
  </si>
  <si>
    <t>TARGET CONSUMPTION VECTOR</t>
  </si>
  <si>
    <t>Dmnl / € per year</t>
  </si>
  <si>
    <t>Mio h/Mio €</t>
  </si>
  <si>
    <t>h/person/year</t>
  </si>
  <si>
    <t>h/day</t>
  </si>
  <si>
    <t>days/week</t>
  </si>
  <si>
    <t>weeks/year</t>
  </si>
  <si>
    <t>Increase in input requirements modeled as exponential function which depends on the amount of remaining fossil resources.</t>
  </si>
  <si>
    <t>Total Fossil Fuels (Oil + Gas + Coal)</t>
  </si>
  <si>
    <t>Land used for energy generation</t>
  </si>
  <si>
    <t>km²/mio€</t>
  </si>
  <si>
    <t>Land used by the food sector (Cropland &amp; Pastures)</t>
  </si>
  <si>
    <t>Land used by the non-energy biomass sector (forest land)</t>
  </si>
  <si>
    <t>Other land used by the food and the biomass sector</t>
  </si>
  <si>
    <t>Parameters of the Vensim ALLOCATE function which is used to distribute different land types.</t>
  </si>
  <si>
    <t>Value (1=feedback,0=no feedback)</t>
  </si>
  <si>
    <t>Sensitivity of C uptake to temperature</t>
  </si>
  <si>
    <t>Sensitivity of CH4 emissions to temperature</t>
  </si>
  <si>
    <t>Sensitivity of CH4 emissions to permafrost and clathrate melting</t>
  </si>
  <si>
    <t>SWITCHES</t>
  </si>
  <si>
    <t>LAND</t>
  </si>
  <si>
    <t>ENERGY</t>
  </si>
  <si>
    <t>LABOUR</t>
  </si>
  <si>
    <t>ECONOMY</t>
  </si>
  <si>
    <t>POPULATION</t>
  </si>
  <si>
    <t>Parameters for calculating the ratio of population moving from subsistence to the formal economy and vice versa</t>
  </si>
  <si>
    <t>energy_land</t>
  </si>
  <si>
    <t>EXOGENOUS POPULATION BIRTH RATES FORMAL ECONOMY</t>
  </si>
  <si>
    <t>Sources</t>
  </si>
  <si>
    <t>EXOGENOUS POPULATION BIRTH RATES SUBSISTENCE ECONOMY</t>
  </si>
  <si>
    <t>age_0_4</t>
  </si>
  <si>
    <t>age_5_9</t>
  </si>
  <si>
    <t>age_10_14</t>
  </si>
  <si>
    <t>age_15_19</t>
  </si>
  <si>
    <t>age_20_24</t>
  </si>
  <si>
    <t>age_25_29</t>
  </si>
  <si>
    <t>age_30_34</t>
  </si>
  <si>
    <t>age_35_39</t>
  </si>
  <si>
    <t>age_40_44</t>
  </si>
  <si>
    <t>age_45_49</t>
  </si>
  <si>
    <t>age_50_54</t>
  </si>
  <si>
    <t>age_55_59</t>
  </si>
  <si>
    <t>age_60_64</t>
  </si>
  <si>
    <t>age_65_69</t>
  </si>
  <si>
    <t>age_70_74</t>
  </si>
  <si>
    <t>age_75_79</t>
  </si>
  <si>
    <t>age_80_84</t>
  </si>
  <si>
    <t>age_85_89</t>
  </si>
  <si>
    <t>age_90_94</t>
  </si>
  <si>
    <t>age_95_plus</t>
  </si>
  <si>
    <t>Fertility rates</t>
  </si>
  <si>
    <t>Fertility rates over 5 years for the population in the reproductive age</t>
  </si>
  <si>
    <t>PARAMETERS ENERGY AND MATERIAL INTENSITY VARIATION IN IPAT SCENARIOS</t>
  </si>
  <si>
    <t>Beta 1 IPAT</t>
  </si>
  <si>
    <t>Beta 2 IPAT</t>
  </si>
  <si>
    <t>all sectors</t>
  </si>
  <si>
    <t>IPAT EFFICIENCY MULTIPLIER</t>
  </si>
  <si>
    <t>Ipat multiplier</t>
  </si>
  <si>
    <t>value</t>
  </si>
  <si>
    <t>EPI and combined scenarios with EPI</t>
  </si>
  <si>
    <t>Baseline, SPI and PPI</t>
  </si>
  <si>
    <t>All scenarios</t>
  </si>
  <si>
    <t>PARAMETERS PROTECTION LAND</t>
  </si>
  <si>
    <t>enegy_land</t>
  </si>
  <si>
    <t>Own elaboration to achieve the desired effect with the ALLOCATE function.</t>
  </si>
  <si>
    <t>Amount of land protected</t>
  </si>
  <si>
    <t>km² of protected land. Negative values mean that the policy is disabled.</t>
  </si>
  <si>
    <t>CLIMATE PARAMETERS</t>
  </si>
  <si>
    <t>Equilibrium climate sensitivity</t>
  </si>
  <si>
    <t>Reference Sensitivity of CH4 from Permafrost and Clathrate to Temperature</t>
  </si>
  <si>
    <t>Temperature Threshold for Methane Emissions from Permafrost and Clathrate</t>
  </si>
  <si>
    <t>Reference Sensitivity of C from Permafrost and Clathrate to Temperature</t>
  </si>
  <si>
    <t>°C</t>
  </si>
  <si>
    <t>Gt C/Year/°C</t>
  </si>
  <si>
    <t>Mt/Year/°C</t>
  </si>
  <si>
    <t>Switch exogeneous birth rates</t>
  </si>
  <si>
    <t>Switch technological impact factor</t>
  </si>
  <si>
    <t>Switch sufficiency policy</t>
  </si>
  <si>
    <t>Baseline, EPI</t>
  </si>
  <si>
    <t>Baseline, PPI, EPI</t>
  </si>
  <si>
    <t>MAXIMUM GROWTH RATE OF LAND DEMAND FOR HUMAN USE</t>
  </si>
  <si>
    <t>Maximum growth rate</t>
  </si>
  <si>
    <t>Maximum growth rate of land types used by the global economy</t>
  </si>
  <si>
    <t>Baseline, PPI, SPI</t>
  </si>
  <si>
    <t>SPI and combined scenarios with SPI</t>
  </si>
  <si>
    <t>Only activated for PPI and combined scenarios with PPI</t>
  </si>
  <si>
    <t>PPI+SPI; PPI+SPI+EPI</t>
  </si>
  <si>
    <t>SPI; SPI+EPI</t>
  </si>
  <si>
    <t>PPI; PPI+EPI</t>
  </si>
  <si>
    <t>The target land intensities reflect an annual growth in land productivities of 1.73%.</t>
  </si>
  <si>
    <t>The target labor intensities approach the labor intensities  the world region 'center' had in 2019.</t>
  </si>
  <si>
    <t>Target capital intensities reflect an increase of 20% compared to initial capital intensities.</t>
  </si>
  <si>
    <t>Replacement of inefficient renewable electricity technologies (sector 16, 18, 19, 20) with more efficient ones (sector 14, 15, 17); replacement of 50% of nuclear electricity (sector 13) and 90% of fossil electricity with renewable electricity (sectors 14, 15, 17); substitution of 25% of fossil and biomass energy input (sector 3 and 10) with renewable electricity (sector 15, 17) in key sectors (sectors 3, 5, 7, 8, 9, 10, 11, 12, 14, 15, 17, 21, 25).</t>
  </si>
  <si>
    <t>All oil and gas resources and all coal reserves as estimated by the BGR (2020).</t>
  </si>
  <si>
    <t>Sector overview</t>
  </si>
  <si>
    <t>Source: https://github.com/Pendracus/MORDRED/blob/main/MORDRED_sectors_overview.pdf</t>
  </si>
  <si>
    <t>Sector number</t>
  </si>
  <si>
    <t xml:space="preserve">Sector description </t>
  </si>
  <si>
    <t>Agriculture, food, beverages</t>
  </si>
  <si>
    <t>Non-energy use of biomass</t>
  </si>
  <si>
    <t>Fossil fuels used for energy</t>
  </si>
  <si>
    <t>Mining</t>
  </si>
  <si>
    <t>Industry not elsewhere classified</t>
  </si>
  <si>
    <t>Recycling industry</t>
  </si>
  <si>
    <t>Services not elsewhere classified</t>
  </si>
  <si>
    <t>Non-energy use of fossil fuels</t>
  </si>
  <si>
    <t>Chemical industry</t>
  </si>
  <si>
    <t>Biomass used for energy</t>
  </si>
  <si>
    <t>Manufacturing</t>
  </si>
  <si>
    <t>Fossil fuel-based electricity</t>
  </si>
  <si>
    <t>Nuclear electricity</t>
  </si>
  <si>
    <t>Hydroelectricity</t>
  </si>
  <si>
    <t>Wind based electricity</t>
  </si>
  <si>
    <t>Biomass and waste based electricity</t>
  </si>
  <si>
    <t>Solar PV electricity</t>
  </si>
  <si>
    <t>Solar thermal electricity</t>
  </si>
  <si>
    <t>Tide, wave and ocean based electricity</t>
  </si>
  <si>
    <t>Geothermal electricity</t>
  </si>
  <si>
    <t>Transport</t>
  </si>
  <si>
    <t>Education</t>
  </si>
  <si>
    <t>Health</t>
  </si>
  <si>
    <t>Waste industry</t>
  </si>
  <si>
    <t>Waste ‚recycling‘ (biogasification &amp; composting) industry</t>
  </si>
  <si>
    <t xml:space="preserve">Suppl. Figure 1: Material intensity of output for Lead, Nickel and Zinc for all combined policy scenarios: PPI+SPI, PPI+EPI, SPI+EPI, PPI+SPI+EPI. </t>
  </si>
  <si>
    <t>Suppl. Figure 2: Cumulative material extraction of Lead, Nickel and Zinc for all combined policy scenarios: PPI+SPI, PPI+EPI, SPI+EPI, PPI+SPI+EPI.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</si>
</sst>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9"/>
      <color rgb="FF44546A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9013336588644"/>
        <bgColor rgb="FFF2F2F2"/>
      </patternFill>
    </fill>
    <fill>
      <patternFill patternType="solid">
        <fgColor theme="4" tint="0.39988402966399123"/>
        <bgColor rgb="FFBFBFBF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/>
    </xf>
    <xf numFmtId="0" fontId="0" fillId="3" borderId="32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9" xfId="0" applyFont="1" applyFill="1" applyBorder="1" applyAlignment="1">
      <alignment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34" xfId="0" applyFont="1" applyFill="1" applyBorder="1" applyAlignment="1">
      <alignment vertical="center" wrapText="1"/>
    </xf>
    <xf numFmtId="0" fontId="1" fillId="2" borderId="35" xfId="0" applyFont="1" applyFill="1" applyBorder="1" applyAlignment="1">
      <alignment vertical="center" wrapText="1"/>
    </xf>
    <xf numFmtId="0" fontId="0" fillId="3" borderId="26" xfId="0" applyFill="1" applyBorder="1" applyAlignment="1">
      <alignment vertical="center" wrapText="1"/>
    </xf>
    <xf numFmtId="11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33" xfId="0" applyBorder="1" applyAlignment="1">
      <alignment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34" xfId="0" applyBorder="1" applyAlignment="1">
      <alignment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0" fillId="3" borderId="38" xfId="0" applyFill="1" applyBorder="1" applyAlignment="1">
      <alignment horizontal="center" vertical="center" wrapText="1"/>
    </xf>
    <xf numFmtId="0" fontId="0" fillId="3" borderId="39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0" fontId="1" fillId="2" borderId="33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" fillId="4" borderId="0" xfId="0" applyFont="1" applyFill="1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0" fillId="3" borderId="32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3" fillId="0" borderId="0" xfId="0" applyFont="1"/>
    <xf numFmtId="0" fontId="0" fillId="3" borderId="5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vertical="center"/>
    </xf>
    <xf numFmtId="0" fontId="1" fillId="2" borderId="46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0" fillId="3" borderId="56" xfId="0" applyFill="1" applyBorder="1" applyAlignment="1">
      <alignment horizontal="center" vertical="center"/>
    </xf>
    <xf numFmtId="0" fontId="2" fillId="3" borderId="52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0" fillId="3" borderId="58" xfId="0" applyFill="1" applyBorder="1" applyAlignment="1">
      <alignment horizontal="center" vertical="center"/>
    </xf>
    <xf numFmtId="0" fontId="4" fillId="0" borderId="0" xfId="0" applyFont="1"/>
    <xf numFmtId="0" fontId="5" fillId="5" borderId="1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6" fillId="6" borderId="59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6" fillId="6" borderId="30" xfId="0" applyFont="1" applyFill="1" applyBorder="1" applyAlignment="1">
      <alignment horizontal="center"/>
    </xf>
    <xf numFmtId="0" fontId="6" fillId="6" borderId="19" xfId="0" applyFont="1" applyFill="1" applyBorder="1" applyAlignment="1">
      <alignment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vertical="center" wrapText="1"/>
    </xf>
    <xf numFmtId="0" fontId="6" fillId="6" borderId="13" xfId="0" applyFont="1" applyFill="1" applyBorder="1" applyAlignment="1">
      <alignment vertical="center" wrapText="1"/>
    </xf>
    <xf numFmtId="0" fontId="4" fillId="4" borderId="0" xfId="0" applyFont="1" applyFill="1"/>
    <xf numFmtId="0" fontId="6" fillId="6" borderId="19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0" fontId="0" fillId="5" borderId="2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6" fillId="0" borderId="0" xfId="0" applyFont="1"/>
    <xf numFmtId="0" fontId="6" fillId="6" borderId="59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30" xfId="0" applyFont="1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6" fillId="6" borderId="13" xfId="0" applyFont="1" applyFill="1" applyBorder="1" applyAlignment="1">
      <alignment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5" borderId="61" xfId="0" applyFill="1" applyBorder="1" applyAlignment="1">
      <alignment horizontal="center" vertical="center"/>
    </xf>
    <xf numFmtId="0" fontId="0" fillId="5" borderId="62" xfId="0" applyFill="1" applyBorder="1" applyAlignment="1">
      <alignment horizontal="center" vertical="center"/>
    </xf>
    <xf numFmtId="0" fontId="0" fillId="5" borderId="21" xfId="0" applyFill="1" applyBorder="1" applyAlignment="1">
      <alignment vertical="center" wrapText="1"/>
    </xf>
    <xf numFmtId="0" fontId="0" fillId="5" borderId="23" xfId="0" applyFill="1" applyBorder="1" applyAlignment="1">
      <alignment vertical="center" wrapText="1"/>
    </xf>
    <xf numFmtId="0" fontId="0" fillId="5" borderId="26" xfId="0" applyFill="1" applyBorder="1" applyAlignment="1">
      <alignment vertical="center" wrapText="1"/>
    </xf>
    <xf numFmtId="0" fontId="7" fillId="0" borderId="0" xfId="0" applyFont="1"/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vertical="center" wrapText="1"/>
    </xf>
    <xf numFmtId="0" fontId="0" fillId="5" borderId="63" xfId="0" applyFill="1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5" borderId="31" xfId="0" applyFill="1" applyBorder="1" applyAlignment="1">
      <alignment vertical="center"/>
    </xf>
    <xf numFmtId="0" fontId="0" fillId="5" borderId="58" xfId="0" applyFill="1" applyBorder="1" applyAlignment="1">
      <alignment vertical="center" wrapText="1"/>
    </xf>
    <xf numFmtId="0" fontId="6" fillId="0" borderId="0" xfId="0" applyFont="1" applyAlignment="1">
      <alignment horizontal="center"/>
    </xf>
    <xf numFmtId="0" fontId="0" fillId="3" borderId="43" xfId="0" applyFill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9" fillId="0" borderId="25" xfId="0" applyFont="1" applyBorder="1" applyAlignment="1">
      <alignment vertical="top" wrapText="1"/>
    </xf>
    <xf numFmtId="0" fontId="9" fillId="0" borderId="64" xfId="0" applyFont="1" applyBorder="1" applyAlignment="1">
      <alignment vertical="top" wrapText="1"/>
    </xf>
    <xf numFmtId="0" fontId="10" fillId="0" borderId="0" xfId="0" applyFont="1" applyAlignment="1">
      <alignment vertical="center"/>
    </xf>
    <xf numFmtId="0" fontId="0" fillId="5" borderId="3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5" borderId="56" xfId="0" applyFill="1" applyBorder="1" applyAlignment="1">
      <alignment horizontal="center" vertical="center" wrapText="1"/>
    </xf>
    <xf numFmtId="0" fontId="0" fillId="3" borderId="41" xfId="0" applyFill="1" applyBorder="1" applyAlignment="1">
      <alignment horizontal="left" vertical="center" wrapText="1"/>
    </xf>
    <xf numFmtId="0" fontId="0" fillId="3" borderId="42" xfId="0" applyFill="1" applyBorder="1" applyAlignment="1">
      <alignment horizontal="left" vertical="center" wrapText="1"/>
    </xf>
    <xf numFmtId="0" fontId="0" fillId="3" borderId="43" xfId="0" applyFill="1" applyBorder="1" applyAlignment="1">
      <alignment horizontal="left" vertical="center" wrapText="1"/>
    </xf>
    <xf numFmtId="0" fontId="0" fillId="3" borderId="47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 wrapText="1"/>
    </xf>
    <xf numFmtId="0" fontId="0" fillId="3" borderId="43" xfId="0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3" borderId="57" xfId="0" applyFill="1" applyBorder="1" applyAlignment="1">
      <alignment horizontal="left" vertical="top" wrapText="1"/>
    </xf>
    <xf numFmtId="0" fontId="0" fillId="3" borderId="44" xfId="0" applyFill="1" applyBorder="1" applyAlignment="1">
      <alignment horizontal="left" vertical="top" wrapText="1"/>
    </xf>
    <xf numFmtId="0" fontId="0" fillId="3" borderId="2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5" borderId="60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3" borderId="44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iff"/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572770</xdr:colOff>
      <xdr:row>25</xdr:row>
      <xdr:rowOff>146050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79C1D22-B9BF-B179-1A34-403FAD37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880"/>
          <a:ext cx="4535170" cy="453517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14</xdr:col>
      <xdr:colOff>572770</xdr:colOff>
      <xdr:row>25</xdr:row>
      <xdr:rowOff>146050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C41CF49-5F01-F68A-E57D-0FD7CB4F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2320" y="182880"/>
          <a:ext cx="4535170" cy="4535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C19A-1204-465D-A99E-98BFD516ED6D}">
  <dimension ref="A1:B27"/>
  <sheetViews>
    <sheetView workbookViewId="0">
      <selection activeCell="C11" sqref="C11"/>
    </sheetView>
  </sheetViews>
  <sheetFormatPr baseColWidth="10" defaultRowHeight="14.4" x14ac:dyDescent="0.3"/>
  <cols>
    <col min="2" max="2" width="52.88671875" customWidth="1"/>
  </cols>
  <sheetData>
    <row r="1" spans="1:2" ht="15" thickBot="1" x14ac:dyDescent="0.35">
      <c r="A1" t="s">
        <v>185</v>
      </c>
      <c r="B1" t="s">
        <v>186</v>
      </c>
    </row>
    <row r="2" spans="1:2" ht="29.4" thickBot="1" x14ac:dyDescent="0.35">
      <c r="A2" s="143" t="s">
        <v>187</v>
      </c>
      <c r="B2" s="144" t="s">
        <v>188</v>
      </c>
    </row>
    <row r="3" spans="1:2" ht="15" thickBot="1" x14ac:dyDescent="0.35">
      <c r="A3" s="145">
        <v>1</v>
      </c>
      <c r="B3" s="146" t="s">
        <v>189</v>
      </c>
    </row>
    <row r="4" spans="1:2" ht="15" thickBot="1" x14ac:dyDescent="0.35">
      <c r="A4" s="145">
        <v>2</v>
      </c>
      <c r="B4" s="146" t="s">
        <v>190</v>
      </c>
    </row>
    <row r="5" spans="1:2" ht="15" thickBot="1" x14ac:dyDescent="0.35">
      <c r="A5" s="145">
        <v>3</v>
      </c>
      <c r="B5" s="146" t="s">
        <v>191</v>
      </c>
    </row>
    <row r="6" spans="1:2" ht="15" thickBot="1" x14ac:dyDescent="0.35">
      <c r="A6" s="145">
        <v>4</v>
      </c>
      <c r="B6" s="146" t="s">
        <v>192</v>
      </c>
    </row>
    <row r="7" spans="1:2" ht="15" thickBot="1" x14ac:dyDescent="0.35">
      <c r="A7" s="145">
        <v>5</v>
      </c>
      <c r="B7" s="146" t="s">
        <v>193</v>
      </c>
    </row>
    <row r="8" spans="1:2" ht="15" thickBot="1" x14ac:dyDescent="0.35">
      <c r="A8" s="145">
        <v>6</v>
      </c>
      <c r="B8" s="146" t="s">
        <v>194</v>
      </c>
    </row>
    <row r="9" spans="1:2" ht="15" thickBot="1" x14ac:dyDescent="0.35">
      <c r="A9" s="145">
        <v>7</v>
      </c>
      <c r="B9" s="146" t="s">
        <v>195</v>
      </c>
    </row>
    <row r="10" spans="1:2" ht="15" thickBot="1" x14ac:dyDescent="0.35">
      <c r="A10" s="145">
        <v>8</v>
      </c>
      <c r="B10" s="146" t="s">
        <v>196</v>
      </c>
    </row>
    <row r="11" spans="1:2" ht="15" thickBot="1" x14ac:dyDescent="0.35">
      <c r="A11" s="145">
        <v>9</v>
      </c>
      <c r="B11" s="146" t="s">
        <v>197</v>
      </c>
    </row>
    <row r="12" spans="1:2" ht="15" thickBot="1" x14ac:dyDescent="0.35">
      <c r="A12" s="145">
        <v>10</v>
      </c>
      <c r="B12" s="146" t="s">
        <v>198</v>
      </c>
    </row>
    <row r="13" spans="1:2" ht="15" thickBot="1" x14ac:dyDescent="0.35">
      <c r="A13" s="145">
        <v>11</v>
      </c>
      <c r="B13" s="146" t="s">
        <v>199</v>
      </c>
    </row>
    <row r="14" spans="1:2" ht="15" thickBot="1" x14ac:dyDescent="0.35">
      <c r="A14" s="145">
        <v>12</v>
      </c>
      <c r="B14" s="146" t="s">
        <v>200</v>
      </c>
    </row>
    <row r="15" spans="1:2" ht="15" thickBot="1" x14ac:dyDescent="0.35">
      <c r="A15" s="145">
        <v>13</v>
      </c>
      <c r="B15" s="146" t="s">
        <v>201</v>
      </c>
    </row>
    <row r="16" spans="1:2" ht="15" thickBot="1" x14ac:dyDescent="0.35">
      <c r="A16" s="145">
        <v>14</v>
      </c>
      <c r="B16" s="146" t="s">
        <v>202</v>
      </c>
    </row>
    <row r="17" spans="1:2" ht="15" thickBot="1" x14ac:dyDescent="0.35">
      <c r="A17" s="145">
        <v>15</v>
      </c>
      <c r="B17" s="146" t="s">
        <v>203</v>
      </c>
    </row>
    <row r="18" spans="1:2" ht="15" thickBot="1" x14ac:dyDescent="0.35">
      <c r="A18" s="145">
        <v>16</v>
      </c>
      <c r="B18" s="146" t="s">
        <v>204</v>
      </c>
    </row>
    <row r="19" spans="1:2" ht="15" thickBot="1" x14ac:dyDescent="0.35">
      <c r="A19" s="145">
        <v>17</v>
      </c>
      <c r="B19" s="146" t="s">
        <v>205</v>
      </c>
    </row>
    <row r="20" spans="1:2" ht="15" thickBot="1" x14ac:dyDescent="0.35">
      <c r="A20" s="145">
        <v>18</v>
      </c>
      <c r="B20" s="146" t="s">
        <v>206</v>
      </c>
    </row>
    <row r="21" spans="1:2" ht="15" thickBot="1" x14ac:dyDescent="0.35">
      <c r="A21" s="145">
        <v>19</v>
      </c>
      <c r="B21" s="146" t="s">
        <v>207</v>
      </c>
    </row>
    <row r="22" spans="1:2" ht="15" thickBot="1" x14ac:dyDescent="0.35">
      <c r="A22" s="145">
        <v>20</v>
      </c>
      <c r="B22" s="146" t="s">
        <v>208</v>
      </c>
    </row>
    <row r="23" spans="1:2" ht="15" thickBot="1" x14ac:dyDescent="0.35">
      <c r="A23" s="145">
        <v>21</v>
      </c>
      <c r="B23" s="146" t="s">
        <v>209</v>
      </c>
    </row>
    <row r="24" spans="1:2" ht="15" thickBot="1" x14ac:dyDescent="0.35">
      <c r="A24" s="145">
        <v>22</v>
      </c>
      <c r="B24" s="146" t="s">
        <v>210</v>
      </c>
    </row>
    <row r="25" spans="1:2" ht="15" thickBot="1" x14ac:dyDescent="0.35">
      <c r="A25" s="145">
        <v>23</v>
      </c>
      <c r="B25" s="146" t="s">
        <v>211</v>
      </c>
    </row>
    <row r="26" spans="1:2" ht="15" thickBot="1" x14ac:dyDescent="0.35">
      <c r="A26" s="145">
        <v>24</v>
      </c>
      <c r="B26" s="146" t="s">
        <v>212</v>
      </c>
    </row>
    <row r="27" spans="1:2" ht="15" thickBot="1" x14ac:dyDescent="0.35">
      <c r="A27" s="145">
        <v>25</v>
      </c>
      <c r="B27" s="146" t="s">
        <v>213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4FF7-4C57-4128-B347-A9987A0C7D52}">
  <dimension ref="A27:J27"/>
  <sheetViews>
    <sheetView workbookViewId="0">
      <selection activeCell="H19" sqref="H19"/>
    </sheetView>
  </sheetViews>
  <sheetFormatPr baseColWidth="10" defaultRowHeight="14.4" x14ac:dyDescent="0.3"/>
  <sheetData>
    <row r="27" spans="1:10" x14ac:dyDescent="0.3">
      <c r="A27" s="147" t="s">
        <v>214</v>
      </c>
      <c r="J27" s="147" t="s">
        <v>215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tabSelected="1" topLeftCell="C5" workbookViewId="0">
      <selection activeCell="H33" sqref="H33"/>
    </sheetView>
  </sheetViews>
  <sheetFormatPr baseColWidth="10" defaultColWidth="8.88671875" defaultRowHeight="14.4" x14ac:dyDescent="0.3"/>
  <cols>
    <col min="1" max="1" width="64.109375" bestFit="1" customWidth="1"/>
    <col min="2" max="2" width="36.109375" customWidth="1"/>
    <col min="3" max="3" width="8.5546875" customWidth="1"/>
    <col min="4" max="4" width="11.44140625" bestFit="1" customWidth="1"/>
  </cols>
  <sheetData>
    <row r="1" spans="1:4" ht="25.8" x14ac:dyDescent="0.5">
      <c r="A1" s="75" t="s">
        <v>115</v>
      </c>
    </row>
    <row r="2" spans="1:4" x14ac:dyDescent="0.3">
      <c r="A2" s="1" t="s">
        <v>54</v>
      </c>
    </row>
    <row r="3" spans="1:4" ht="15" thickBot="1" x14ac:dyDescent="0.35">
      <c r="A3" s="99" t="s">
        <v>152</v>
      </c>
    </row>
    <row r="4" spans="1:4" ht="15" thickBot="1" x14ac:dyDescent="0.35">
      <c r="B4" s="4" t="s">
        <v>2</v>
      </c>
      <c r="C4" s="3" t="s">
        <v>3</v>
      </c>
      <c r="D4" s="65" t="s">
        <v>44</v>
      </c>
    </row>
    <row r="5" spans="1:4" ht="28.2" customHeight="1" x14ac:dyDescent="0.3">
      <c r="A5" s="59" t="s">
        <v>55</v>
      </c>
      <c r="B5" s="151" t="s">
        <v>116</v>
      </c>
      <c r="C5" s="154" t="s">
        <v>56</v>
      </c>
      <c r="D5" s="100">
        <v>6.85871056241427E-4</v>
      </c>
    </row>
    <row r="6" spans="1:4" ht="28.2" customHeight="1" x14ac:dyDescent="0.3">
      <c r="A6" s="40" t="s">
        <v>57</v>
      </c>
      <c r="B6" s="152"/>
      <c r="C6" s="155"/>
      <c r="D6" s="101">
        <v>5.5</v>
      </c>
    </row>
    <row r="7" spans="1:4" ht="28.2" customHeight="1" thickBot="1" x14ac:dyDescent="0.35">
      <c r="A7" s="41" t="s">
        <v>58</v>
      </c>
      <c r="B7" s="153"/>
      <c r="C7" s="156"/>
      <c r="D7" s="102">
        <v>6.8587105624142598E-3</v>
      </c>
    </row>
    <row r="9" spans="1:4" x14ac:dyDescent="0.3">
      <c r="A9" s="1" t="s">
        <v>79</v>
      </c>
    </row>
    <row r="10" spans="1:4" ht="15" thickBot="1" x14ac:dyDescent="0.35">
      <c r="A10" s="99" t="s">
        <v>152</v>
      </c>
    </row>
    <row r="11" spans="1:4" ht="15" thickBot="1" x14ac:dyDescent="0.35">
      <c r="B11" s="4" t="s">
        <v>2</v>
      </c>
      <c r="C11" s="3" t="s">
        <v>3</v>
      </c>
      <c r="D11" s="65" t="s">
        <v>44</v>
      </c>
    </row>
    <row r="12" spans="1:4" x14ac:dyDescent="0.3">
      <c r="A12" s="17" t="s">
        <v>80</v>
      </c>
      <c r="B12" s="151" t="s">
        <v>116</v>
      </c>
      <c r="C12" s="154" t="s">
        <v>56</v>
      </c>
      <c r="D12" s="60">
        <v>2.5</v>
      </c>
    </row>
    <row r="13" spans="1:4" ht="15" thickBot="1" x14ac:dyDescent="0.35">
      <c r="A13" s="13" t="s">
        <v>81</v>
      </c>
      <c r="B13" s="153"/>
      <c r="C13" s="156"/>
      <c r="D13" s="61">
        <v>1.2</v>
      </c>
    </row>
    <row r="16" spans="1:4" ht="14.25" customHeight="1" x14ac:dyDescent="0.3">
      <c r="A16" s="1" t="s">
        <v>118</v>
      </c>
    </row>
    <row r="17" spans="1:24" ht="14.25" customHeight="1" thickBot="1" x14ac:dyDescent="0.35">
      <c r="A17" s="99" t="s">
        <v>176</v>
      </c>
    </row>
    <row r="18" spans="1:24" ht="15" thickBot="1" x14ac:dyDescent="0.35">
      <c r="B18" s="103" t="s">
        <v>119</v>
      </c>
      <c r="C18" s="104" t="s">
        <v>2</v>
      </c>
      <c r="D18" s="105" t="s">
        <v>3</v>
      </c>
      <c r="E18" s="103" t="s">
        <v>121</v>
      </c>
      <c r="F18" s="104" t="s">
        <v>122</v>
      </c>
      <c r="G18" s="104" t="s">
        <v>123</v>
      </c>
      <c r="H18" s="104" t="s">
        <v>124</v>
      </c>
      <c r="I18" s="104" t="s">
        <v>125</v>
      </c>
      <c r="J18" s="104" t="s">
        <v>126</v>
      </c>
      <c r="K18" s="104" t="s">
        <v>127</v>
      </c>
      <c r="L18" s="104" t="s">
        <v>128</v>
      </c>
      <c r="M18" s="104" t="s">
        <v>129</v>
      </c>
      <c r="N18" s="104" t="s">
        <v>130</v>
      </c>
      <c r="O18" s="104" t="s">
        <v>131</v>
      </c>
      <c r="P18" s="104" t="s">
        <v>132</v>
      </c>
      <c r="Q18" s="104" t="s">
        <v>133</v>
      </c>
      <c r="R18" s="104" t="s">
        <v>134</v>
      </c>
      <c r="S18" s="104" t="s">
        <v>135</v>
      </c>
      <c r="T18" s="104" t="s">
        <v>136</v>
      </c>
      <c r="U18" s="104" t="s">
        <v>137</v>
      </c>
      <c r="V18" s="104" t="s">
        <v>138</v>
      </c>
      <c r="W18" s="104" t="s">
        <v>139</v>
      </c>
      <c r="X18" s="65" t="s">
        <v>140</v>
      </c>
    </row>
    <row r="19" spans="1:24" ht="14.25" customHeight="1" thickBot="1" x14ac:dyDescent="0.35">
      <c r="A19" s="149" t="s">
        <v>141</v>
      </c>
      <c r="B19" s="106" t="s">
        <v>8</v>
      </c>
      <c r="C19" s="148" t="s">
        <v>142</v>
      </c>
      <c r="D19" s="148" t="s">
        <v>14</v>
      </c>
      <c r="E19" s="107">
        <v>0</v>
      </c>
      <c r="F19" s="107">
        <v>0</v>
      </c>
      <c r="G19" s="107">
        <v>0</v>
      </c>
      <c r="H19" s="107">
        <v>1.8170900827607198E-2</v>
      </c>
      <c r="I19" s="107">
        <v>7.6858676696166001E-2</v>
      </c>
      <c r="J19" s="107">
        <v>0.15861644320922999</v>
      </c>
      <c r="K19" s="107">
        <v>0.15394624168566401</v>
      </c>
      <c r="L19" s="107">
        <v>7.7845914664659205E-2</v>
      </c>
      <c r="M19" s="107">
        <v>1.4561822916673199E-2</v>
      </c>
      <c r="N19" s="107">
        <v>0</v>
      </c>
      <c r="O19" s="107">
        <v>0</v>
      </c>
      <c r="P19" s="107">
        <v>0</v>
      </c>
      <c r="Q19" s="107">
        <v>0</v>
      </c>
      <c r="R19" s="107">
        <v>0</v>
      </c>
      <c r="S19" s="107">
        <v>0</v>
      </c>
      <c r="T19" s="107">
        <v>0</v>
      </c>
      <c r="U19" s="107">
        <v>0</v>
      </c>
      <c r="V19" s="107">
        <v>0</v>
      </c>
      <c r="W19" s="107">
        <v>0</v>
      </c>
      <c r="X19" s="60">
        <v>0</v>
      </c>
    </row>
    <row r="20" spans="1:24" ht="15" thickBot="1" x14ac:dyDescent="0.35">
      <c r="A20" s="149"/>
      <c r="B20" s="108" t="s">
        <v>10</v>
      </c>
      <c r="C20" s="148"/>
      <c r="D20" s="148"/>
      <c r="E20" s="107">
        <v>0</v>
      </c>
      <c r="F20" s="107">
        <v>0</v>
      </c>
      <c r="G20" s="107">
        <v>0</v>
      </c>
      <c r="H20" s="107">
        <v>4.9469878001143497E-2</v>
      </c>
      <c r="I20" s="107">
        <v>0.13489767431053601</v>
      </c>
      <c r="J20" s="107">
        <v>0.13726733126285001</v>
      </c>
      <c r="K20" s="107">
        <v>0.11016447295910101</v>
      </c>
      <c r="L20" s="107">
        <v>5.2834463202449597E-2</v>
      </c>
      <c r="M20" s="107">
        <v>1.5366180263920099E-2</v>
      </c>
      <c r="N20" s="107">
        <v>0</v>
      </c>
      <c r="O20" s="107">
        <v>0</v>
      </c>
      <c r="P20" s="107">
        <v>0</v>
      </c>
      <c r="Q20" s="107">
        <v>0</v>
      </c>
      <c r="R20" s="107">
        <v>0</v>
      </c>
      <c r="S20" s="107">
        <v>0</v>
      </c>
      <c r="T20" s="107">
        <v>0</v>
      </c>
      <c r="U20" s="107">
        <v>0</v>
      </c>
      <c r="V20" s="107">
        <v>0</v>
      </c>
      <c r="W20" s="107">
        <v>0</v>
      </c>
      <c r="X20" s="60">
        <v>0</v>
      </c>
    </row>
    <row r="21" spans="1:24" ht="15" thickBot="1" x14ac:dyDescent="0.35">
      <c r="A21" s="149"/>
      <c r="B21" s="109" t="s">
        <v>9</v>
      </c>
      <c r="C21" s="148"/>
      <c r="D21" s="148"/>
      <c r="E21" s="178">
        <v>0</v>
      </c>
      <c r="F21" s="178">
        <v>0</v>
      </c>
      <c r="G21" s="178">
        <v>0</v>
      </c>
      <c r="H21" s="178">
        <v>5.4018110950325701E-2</v>
      </c>
      <c r="I21" s="178">
        <v>0.149720447102483</v>
      </c>
      <c r="J21" s="178">
        <v>0.13761906963758799</v>
      </c>
      <c r="K21" s="178">
        <v>9.3896565603066001E-2</v>
      </c>
      <c r="L21" s="178">
        <v>4.5798439576045E-2</v>
      </c>
      <c r="M21" s="178">
        <v>1.89473671304922E-2</v>
      </c>
      <c r="N21" s="178">
        <v>0</v>
      </c>
      <c r="O21" s="178">
        <v>0</v>
      </c>
      <c r="P21" s="178">
        <v>0</v>
      </c>
      <c r="Q21" s="178">
        <v>0</v>
      </c>
      <c r="R21" s="178">
        <v>0</v>
      </c>
      <c r="S21" s="178">
        <v>0</v>
      </c>
      <c r="T21" s="178">
        <v>0</v>
      </c>
      <c r="U21" s="178">
        <v>0</v>
      </c>
      <c r="V21" s="178">
        <v>0</v>
      </c>
      <c r="W21" s="178">
        <v>0</v>
      </c>
      <c r="X21" s="53">
        <v>0</v>
      </c>
    </row>
    <row r="22" spans="1:24" ht="14.25" customHeight="1" x14ac:dyDescent="0.3"/>
    <row r="23" spans="1:24" ht="14.25" customHeight="1" x14ac:dyDescent="0.3"/>
    <row r="24" spans="1:24" ht="14.25" customHeight="1" x14ac:dyDescent="0.3">
      <c r="A24" s="1" t="s">
        <v>120</v>
      </c>
    </row>
    <row r="25" spans="1:24" ht="14.25" customHeight="1" thickBot="1" x14ac:dyDescent="0.35">
      <c r="A25" s="99" t="s">
        <v>176</v>
      </c>
    </row>
    <row r="26" spans="1:24" ht="15" thickBot="1" x14ac:dyDescent="0.35">
      <c r="B26" s="103" t="s">
        <v>119</v>
      </c>
      <c r="C26" s="104" t="s">
        <v>2</v>
      </c>
      <c r="D26" s="105" t="s">
        <v>3</v>
      </c>
      <c r="E26" s="103" t="s">
        <v>121</v>
      </c>
      <c r="F26" s="104" t="s">
        <v>122</v>
      </c>
      <c r="G26" s="104" t="s">
        <v>123</v>
      </c>
      <c r="H26" s="104" t="s">
        <v>124</v>
      </c>
      <c r="I26" s="104" t="s">
        <v>125</v>
      </c>
      <c r="J26" s="104" t="s">
        <v>126</v>
      </c>
      <c r="K26" s="104" t="s">
        <v>127</v>
      </c>
      <c r="L26" s="104" t="s">
        <v>128</v>
      </c>
      <c r="M26" s="104" t="s">
        <v>129</v>
      </c>
      <c r="N26" s="104" t="s">
        <v>130</v>
      </c>
      <c r="O26" s="104" t="s">
        <v>131</v>
      </c>
      <c r="P26" s="104" t="s">
        <v>132</v>
      </c>
      <c r="Q26" s="104" t="s">
        <v>133</v>
      </c>
      <c r="R26" s="104" t="s">
        <v>134</v>
      </c>
      <c r="S26" s="104" t="s">
        <v>135</v>
      </c>
      <c r="T26" s="104" t="s">
        <v>136</v>
      </c>
      <c r="U26" s="104" t="s">
        <v>137</v>
      </c>
      <c r="V26" s="104" t="s">
        <v>138</v>
      </c>
      <c r="W26" s="104" t="s">
        <v>139</v>
      </c>
      <c r="X26" s="105" t="s">
        <v>140</v>
      </c>
    </row>
    <row r="27" spans="1:24" ht="14.25" customHeight="1" thickBot="1" x14ac:dyDescent="0.35">
      <c r="A27" s="149" t="s">
        <v>141</v>
      </c>
      <c r="B27" s="106" t="s">
        <v>8</v>
      </c>
      <c r="C27" s="150"/>
      <c r="D27" s="148" t="s">
        <v>14</v>
      </c>
      <c r="E27" s="107">
        <v>0</v>
      </c>
      <c r="F27" s="107">
        <v>0</v>
      </c>
      <c r="G27" s="107">
        <v>0</v>
      </c>
      <c r="H27" s="107">
        <v>5.38588128990585E-2</v>
      </c>
      <c r="I27" s="107">
        <v>0.15614262049094499</v>
      </c>
      <c r="J27" s="107">
        <v>0.15089423577632599</v>
      </c>
      <c r="K27" s="107">
        <v>7.3773498977575597E-2</v>
      </c>
      <c r="L27" s="107">
        <v>3.7488047523229102E-2</v>
      </c>
      <c r="M27" s="107">
        <v>2.78427843328658E-2</v>
      </c>
      <c r="N27" s="107">
        <v>0</v>
      </c>
      <c r="O27" s="107">
        <v>0</v>
      </c>
      <c r="P27" s="107">
        <v>0</v>
      </c>
      <c r="Q27" s="107">
        <v>0</v>
      </c>
      <c r="R27" s="107">
        <v>0</v>
      </c>
      <c r="S27" s="107">
        <v>0</v>
      </c>
      <c r="T27" s="107">
        <v>0</v>
      </c>
      <c r="U27" s="107">
        <v>0</v>
      </c>
      <c r="V27" s="107">
        <v>0</v>
      </c>
      <c r="W27" s="107">
        <v>0</v>
      </c>
      <c r="X27" s="101">
        <v>0</v>
      </c>
    </row>
    <row r="28" spans="1:24" ht="15" thickBot="1" x14ac:dyDescent="0.35">
      <c r="A28" s="149"/>
      <c r="B28" s="108" t="s">
        <v>10</v>
      </c>
      <c r="C28" s="150"/>
      <c r="D28" s="148"/>
      <c r="E28" s="107">
        <v>0</v>
      </c>
      <c r="F28" s="107">
        <v>0</v>
      </c>
      <c r="G28" s="107">
        <v>0</v>
      </c>
      <c r="H28" s="107">
        <v>5.38588128990585E-2</v>
      </c>
      <c r="I28" s="107">
        <v>0.15614262049094499</v>
      </c>
      <c r="J28" s="107">
        <v>0.15089423577632599</v>
      </c>
      <c r="K28" s="107">
        <v>7.3773498977575597E-2</v>
      </c>
      <c r="L28" s="107">
        <v>3.7488047523229102E-2</v>
      </c>
      <c r="M28" s="107">
        <v>2.78427843328658E-2</v>
      </c>
      <c r="N28" s="107">
        <v>0</v>
      </c>
      <c r="O28" s="107">
        <v>0</v>
      </c>
      <c r="P28" s="107">
        <v>0</v>
      </c>
      <c r="Q28" s="107">
        <v>0</v>
      </c>
      <c r="R28" s="107">
        <v>0</v>
      </c>
      <c r="S28" s="107">
        <v>0</v>
      </c>
      <c r="T28" s="107">
        <v>0</v>
      </c>
      <c r="U28" s="107">
        <v>0</v>
      </c>
      <c r="V28" s="107">
        <v>0</v>
      </c>
      <c r="W28" s="107">
        <v>0</v>
      </c>
      <c r="X28" s="101">
        <v>0</v>
      </c>
    </row>
    <row r="29" spans="1:24" ht="15" thickBot="1" x14ac:dyDescent="0.35">
      <c r="A29" s="149"/>
      <c r="B29" s="109" t="s">
        <v>9</v>
      </c>
      <c r="C29" s="150"/>
      <c r="D29" s="148"/>
      <c r="E29" s="178">
        <v>0</v>
      </c>
      <c r="F29" s="178">
        <v>0</v>
      </c>
      <c r="G29" s="178">
        <v>0</v>
      </c>
      <c r="H29" s="178">
        <v>5.38588128990585E-2</v>
      </c>
      <c r="I29" s="178">
        <v>0.15614262049094499</v>
      </c>
      <c r="J29" s="178">
        <v>0.15089423577632599</v>
      </c>
      <c r="K29" s="178">
        <v>7.3773498977575597E-2</v>
      </c>
      <c r="L29" s="178">
        <v>3.7488047523229102E-2</v>
      </c>
      <c r="M29" s="178">
        <v>2.78427843328658E-2</v>
      </c>
      <c r="N29" s="178">
        <v>0</v>
      </c>
      <c r="O29" s="178">
        <v>0</v>
      </c>
      <c r="P29" s="178">
        <v>0</v>
      </c>
      <c r="Q29" s="178">
        <v>0</v>
      </c>
      <c r="R29" s="178">
        <v>0</v>
      </c>
      <c r="S29" s="178">
        <v>0</v>
      </c>
      <c r="T29" s="178">
        <v>0</v>
      </c>
      <c r="U29" s="178">
        <v>0</v>
      </c>
      <c r="V29" s="178">
        <v>0</v>
      </c>
      <c r="W29" s="178">
        <v>0</v>
      </c>
      <c r="X29" s="102">
        <v>0</v>
      </c>
    </row>
  </sheetData>
  <mergeCells count="10">
    <mergeCell ref="D19:D21"/>
    <mergeCell ref="A27:A29"/>
    <mergeCell ref="C27:C29"/>
    <mergeCell ref="D27:D29"/>
    <mergeCell ref="B5:B7"/>
    <mergeCell ref="B12:B13"/>
    <mergeCell ref="C5:C7"/>
    <mergeCell ref="C12:C13"/>
    <mergeCell ref="A19:A21"/>
    <mergeCell ref="C19:C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377"/>
  <sheetViews>
    <sheetView topLeftCell="B70" zoomScale="69" workbookViewId="0">
      <selection activeCell="D101" sqref="D101"/>
    </sheetView>
  </sheetViews>
  <sheetFormatPr baseColWidth="10" defaultRowHeight="14.4" x14ac:dyDescent="0.3"/>
  <cols>
    <col min="1" max="1" width="24.109375" customWidth="1"/>
    <col min="2" max="2" width="36.33203125" customWidth="1"/>
    <col min="3" max="3" width="34" customWidth="1"/>
    <col min="4" max="4" width="14.77734375" bestFit="1" customWidth="1"/>
    <col min="5" max="12" width="17.5546875" customWidth="1"/>
    <col min="13" max="13" width="20.77734375" customWidth="1"/>
    <col min="14" max="17" width="17.5546875" customWidth="1"/>
    <col min="18" max="18" width="14.77734375" bestFit="1" customWidth="1"/>
    <col min="19" max="24" width="12.21875" bestFit="1" customWidth="1"/>
  </cols>
  <sheetData>
    <row r="1" spans="1:26" s="75" customFormat="1" ht="25.8" x14ac:dyDescent="0.5">
      <c r="A1" s="75" t="s">
        <v>114</v>
      </c>
    </row>
    <row r="2" spans="1:26" x14ac:dyDescent="0.3">
      <c r="A2" s="62" t="s">
        <v>82</v>
      </c>
    </row>
    <row r="3" spans="1:26" ht="15" thickBot="1" x14ac:dyDescent="0.35">
      <c r="A3" s="110" t="s">
        <v>174</v>
      </c>
    </row>
    <row r="4" spans="1:26" ht="15" thickBot="1" x14ac:dyDescent="0.35">
      <c r="A4" s="81" t="s">
        <v>2</v>
      </c>
      <c r="B4" t="s">
        <v>183</v>
      </c>
    </row>
    <row r="5" spans="1:26" ht="15" thickBot="1" x14ac:dyDescent="0.35">
      <c r="A5" s="79" t="s">
        <v>0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  <c r="R5" s="3">
        <v>17</v>
      </c>
      <c r="S5" s="3">
        <v>18</v>
      </c>
      <c r="T5" s="4">
        <v>19</v>
      </c>
      <c r="U5" s="3">
        <v>20</v>
      </c>
      <c r="V5" s="3">
        <v>21</v>
      </c>
      <c r="W5" s="3">
        <v>22</v>
      </c>
      <c r="X5" s="3">
        <v>23</v>
      </c>
      <c r="Y5" s="3">
        <v>24</v>
      </c>
      <c r="Z5" s="5">
        <v>25</v>
      </c>
    </row>
    <row r="6" spans="1:26" ht="15" thickBot="1" x14ac:dyDescent="0.35">
      <c r="A6" s="65">
        <v>1</v>
      </c>
      <c r="B6" s="6">
        <v>0.366764437067015</v>
      </c>
      <c r="C6" s="7">
        <v>5.6936153557802599E-2</v>
      </c>
      <c r="D6" s="7">
        <v>3.4429440165578101E-3</v>
      </c>
      <c r="E6" s="7">
        <v>1.0136938011790201E-2</v>
      </c>
      <c r="F6" s="7">
        <v>6.1847568492036896E-3</v>
      </c>
      <c r="G6" s="7">
        <v>0</v>
      </c>
      <c r="H6" s="7">
        <v>1.7175134639272002E-2</v>
      </c>
      <c r="I6" s="7">
        <v>5.0141643913594099E-3</v>
      </c>
      <c r="J6" s="7">
        <v>3.78155857829022E-2</v>
      </c>
      <c r="K6" s="7">
        <v>3.5500921793597498E-2</v>
      </c>
      <c r="L6" s="7">
        <v>3.3938254570127701E-3</v>
      </c>
      <c r="M6" s="7">
        <v>5.38787293918256E-3</v>
      </c>
      <c r="N6" s="7">
        <v>2.7798432323902201E-3</v>
      </c>
      <c r="O6" s="7">
        <v>5.0381707423904397E-3</v>
      </c>
      <c r="P6" s="7">
        <v>1.433003571615E-2</v>
      </c>
      <c r="Q6" s="7">
        <v>1.80520831719681E-2</v>
      </c>
      <c r="R6" s="7">
        <v>1.2001255766510699E-2</v>
      </c>
      <c r="S6" s="7">
        <v>5.6387895162083701E-4</v>
      </c>
      <c r="T6" s="7">
        <v>4.17798119185452E-3</v>
      </c>
      <c r="U6" s="7">
        <v>1.93280779894325E-3</v>
      </c>
      <c r="V6" s="7">
        <v>9.6009390723815202E-3</v>
      </c>
      <c r="W6" s="7">
        <v>6.8781522715970602E-3</v>
      </c>
      <c r="X6" s="7">
        <v>1.8393202038955399E-2</v>
      </c>
      <c r="Y6" s="7">
        <v>8.3612088645359101E-3</v>
      </c>
      <c r="Z6" s="8">
        <v>5.6125556400721203E-3</v>
      </c>
    </row>
    <row r="7" spans="1:26" ht="28.8" customHeight="1" thickBot="1" x14ac:dyDescent="0.35">
      <c r="A7" s="65">
        <v>2</v>
      </c>
      <c r="B7" s="10">
        <v>1.04732142425419E-2</v>
      </c>
      <c r="C7" s="11">
        <v>0.32533491598964098</v>
      </c>
      <c r="D7" s="11">
        <v>1.1274200567743199E-3</v>
      </c>
      <c r="E7" s="11">
        <v>3.6428530507204501E-3</v>
      </c>
      <c r="F7" s="11">
        <v>1.1908302211003099E-2</v>
      </c>
      <c r="G7" s="11">
        <v>0</v>
      </c>
      <c r="H7" s="11">
        <v>6.8454588804570402E-3</v>
      </c>
      <c r="I7" s="11">
        <v>8.0281680797446796E-4</v>
      </c>
      <c r="J7" s="11">
        <v>2.91293409170361E-2</v>
      </c>
      <c r="K7" s="11">
        <v>1.09827113608068E-2</v>
      </c>
      <c r="L7" s="11">
        <v>1.1185089989074099E-2</v>
      </c>
      <c r="M7" s="11">
        <v>2.7317750252387999E-3</v>
      </c>
      <c r="N7" s="11">
        <v>1.28259747826954E-3</v>
      </c>
      <c r="O7" s="11">
        <v>4.3773198457663998E-3</v>
      </c>
      <c r="P7" s="11">
        <v>1.71678681885088E-3</v>
      </c>
      <c r="Q7" s="11">
        <v>9.0282009988773906E-3</v>
      </c>
      <c r="R7" s="11">
        <v>7.6668994737295899E-3</v>
      </c>
      <c r="S7" s="11">
        <v>4.9298127979361599E-4</v>
      </c>
      <c r="T7" s="11">
        <v>2.52991793737436E-3</v>
      </c>
      <c r="U7" s="11">
        <v>1.9467408261539601E-3</v>
      </c>
      <c r="V7" s="11">
        <v>3.1147483776872101E-3</v>
      </c>
      <c r="W7" s="11">
        <v>3.5739834279721601E-3</v>
      </c>
      <c r="X7" s="11">
        <v>1.0387486423615099E-2</v>
      </c>
      <c r="Y7" s="11">
        <v>6.4463070778641701E-3</v>
      </c>
      <c r="Z7" s="12">
        <v>4.7815925112398502E-3</v>
      </c>
    </row>
    <row r="8" spans="1:26" ht="15" thickBot="1" x14ac:dyDescent="0.35">
      <c r="A8" s="65">
        <v>3</v>
      </c>
      <c r="B8" s="10">
        <v>7.9741414354581302E-3</v>
      </c>
      <c r="C8" s="11">
        <v>1.2601759445447201E-2</v>
      </c>
      <c r="D8" s="11">
        <v>0.21361162999271999</v>
      </c>
      <c r="E8" s="11">
        <v>3.1503626413804303E-2</v>
      </c>
      <c r="F8" s="11">
        <v>1.7876842142991699E-2</v>
      </c>
      <c r="G8" s="11">
        <v>0</v>
      </c>
      <c r="H8" s="11">
        <v>4.8525920727024103E-3</v>
      </c>
      <c r="I8" s="11">
        <v>0.380047086502316</v>
      </c>
      <c r="J8" s="11">
        <v>1.6761930449246398E-2</v>
      </c>
      <c r="K8" s="11">
        <v>5.8044189026637397E-2</v>
      </c>
      <c r="L8" s="11">
        <v>6.7213711829833397E-3</v>
      </c>
      <c r="M8" s="11">
        <v>0.15164821448489299</v>
      </c>
      <c r="N8" s="11">
        <v>6.1408266537033296E-3</v>
      </c>
      <c r="O8" s="11">
        <v>1.16075710726134E-2</v>
      </c>
      <c r="P8" s="11">
        <v>1.1126726243908701E-2</v>
      </c>
      <c r="Q8" s="11">
        <v>2.5816883586223801E-2</v>
      </c>
      <c r="R8" s="11">
        <v>1.00074166138703E-2</v>
      </c>
      <c r="S8" s="11">
        <v>0.332437162519094</v>
      </c>
      <c r="T8" s="11">
        <v>9.5223079450082099E-2</v>
      </c>
      <c r="U8" s="11">
        <v>1.7132926555936401E-2</v>
      </c>
      <c r="V8" s="11">
        <v>6.0459315275482199E-2</v>
      </c>
      <c r="W8" s="11">
        <v>4.7664127319577603E-3</v>
      </c>
      <c r="X8" s="11">
        <v>2.6573716015599702E-3</v>
      </c>
      <c r="Y8" s="11">
        <v>1.16014430063512E-2</v>
      </c>
      <c r="Z8" s="12">
        <v>6.9153850900769203E-3</v>
      </c>
    </row>
    <row r="9" spans="1:26" ht="15" thickBot="1" x14ac:dyDescent="0.35">
      <c r="A9" s="65">
        <v>4</v>
      </c>
      <c r="B9" s="10">
        <v>1.43220520971863E-3</v>
      </c>
      <c r="C9" s="11">
        <v>1.4268957582058001E-3</v>
      </c>
      <c r="D9" s="11">
        <v>1.9578642921931101E-3</v>
      </c>
      <c r="E9" s="11">
        <v>6.4914503403267501E-2</v>
      </c>
      <c r="F9" s="11">
        <v>2.7359926129808199E-2</v>
      </c>
      <c r="G9" s="11">
        <v>0</v>
      </c>
      <c r="H9" s="11">
        <v>5.5086168479186398E-4</v>
      </c>
      <c r="I9" s="11">
        <v>3.45204015330406E-3</v>
      </c>
      <c r="J9" s="11">
        <v>1.46930932970751E-2</v>
      </c>
      <c r="K9" s="11">
        <v>1.34364995746756E-2</v>
      </c>
      <c r="L9" s="11">
        <v>4.0082774588121699E-3</v>
      </c>
      <c r="M9" s="11">
        <v>1.9221834512063701E-3</v>
      </c>
      <c r="N9" s="11">
        <v>1.74522103786469E-3</v>
      </c>
      <c r="O9" s="11">
        <v>6.4760180242956402E-3</v>
      </c>
      <c r="P9" s="11">
        <v>2.55245766891448E-3</v>
      </c>
      <c r="Q9" s="11">
        <v>2.6580861581568002E-3</v>
      </c>
      <c r="R9" s="11">
        <v>1.0069468126353299E-2</v>
      </c>
      <c r="S9" s="11">
        <v>8.0348899423680306E-5</v>
      </c>
      <c r="T9" s="11">
        <v>1.0652903788578499E-2</v>
      </c>
      <c r="U9" s="11">
        <v>3.3371316911224901E-3</v>
      </c>
      <c r="V9" s="11">
        <v>4.1413067272714799E-4</v>
      </c>
      <c r="W9" s="11">
        <v>3.8421553593666899E-4</v>
      </c>
      <c r="X9" s="11">
        <v>5.9443271960444297E-4</v>
      </c>
      <c r="Y9" s="11">
        <v>3.12235208334051E-3</v>
      </c>
      <c r="Z9" s="12">
        <v>1.4937170851287199E-3</v>
      </c>
    </row>
    <row r="10" spans="1:26" ht="15" thickBot="1" x14ac:dyDescent="0.35">
      <c r="A10" s="65">
        <v>5</v>
      </c>
      <c r="B10" s="10">
        <v>1.01475217764049E-2</v>
      </c>
      <c r="C10" s="11">
        <v>3.9196032697089302E-2</v>
      </c>
      <c r="D10" s="11">
        <v>1.80121453218463E-2</v>
      </c>
      <c r="E10" s="11">
        <v>3.2964558147885299E-2</v>
      </c>
      <c r="F10" s="11">
        <v>0.20824782128307301</v>
      </c>
      <c r="G10" s="11">
        <v>0</v>
      </c>
      <c r="H10" s="11">
        <v>1.3723381839687699E-2</v>
      </c>
      <c r="I10" s="11">
        <v>8.07734178908108E-3</v>
      </c>
      <c r="J10" s="11">
        <v>7.8244868195230896E-2</v>
      </c>
      <c r="K10" s="11">
        <v>2.3383465843341202E-2</v>
      </c>
      <c r="L10" s="11">
        <v>0.103790955887217</v>
      </c>
      <c r="M10" s="11">
        <v>2.8739885738178199E-2</v>
      </c>
      <c r="N10" s="11">
        <v>4.0069082549776203E-2</v>
      </c>
      <c r="O10" s="11">
        <v>3.77958483200901E-2</v>
      </c>
      <c r="P10" s="11">
        <v>2.94677155712629E-2</v>
      </c>
      <c r="Q10" s="11">
        <v>5.6097606382478099E-2</v>
      </c>
      <c r="R10" s="11">
        <v>5.1733170223390003E-2</v>
      </c>
      <c r="S10" s="11">
        <v>2.4652455728991499E-2</v>
      </c>
      <c r="T10" s="11">
        <v>2.6187940076536801E-2</v>
      </c>
      <c r="U10" s="11">
        <v>3.6790206094792603E-2</v>
      </c>
      <c r="V10" s="11">
        <v>6.3422188079354297E-3</v>
      </c>
      <c r="W10" s="11">
        <v>1.16014832965618E-2</v>
      </c>
      <c r="X10" s="11">
        <v>1.2625299393220799E-2</v>
      </c>
      <c r="Y10" s="11">
        <v>4.9311057453861599E-2</v>
      </c>
      <c r="Z10" s="12">
        <v>2.8965603231233299E-2</v>
      </c>
    </row>
    <row r="11" spans="1:26" ht="15" thickBot="1" x14ac:dyDescent="0.35">
      <c r="A11" s="65">
        <v>6</v>
      </c>
      <c r="B11" s="10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2">
        <v>0</v>
      </c>
    </row>
    <row r="12" spans="1:26" ht="15" thickBot="1" x14ac:dyDescent="0.35">
      <c r="A12" s="65">
        <v>7</v>
      </c>
      <c r="B12" s="10">
        <v>0.16028201364348199</v>
      </c>
      <c r="C12" s="11">
        <v>0.140644419374166</v>
      </c>
      <c r="D12" s="11">
        <v>0.133159876791589</v>
      </c>
      <c r="E12" s="11">
        <v>0.20167080261919701</v>
      </c>
      <c r="F12" s="11">
        <v>0.15957594232281</v>
      </c>
      <c r="G12" s="11">
        <v>0</v>
      </c>
      <c r="H12" s="11">
        <v>0.26467017986959102</v>
      </c>
      <c r="I12" s="11">
        <v>0.10044933067508401</v>
      </c>
      <c r="J12" s="11">
        <v>0.15926042391827899</v>
      </c>
      <c r="K12" s="11">
        <v>0.230728190637638</v>
      </c>
      <c r="L12" s="11">
        <v>0.16022238810464001</v>
      </c>
      <c r="M12" s="11">
        <v>0.24301457608676899</v>
      </c>
      <c r="N12" s="11">
        <v>0.21416240297202499</v>
      </c>
      <c r="O12" s="11">
        <v>0.183788236880644</v>
      </c>
      <c r="P12" s="11">
        <v>0.19625113009974501</v>
      </c>
      <c r="Q12" s="11">
        <v>0.33320243306493302</v>
      </c>
      <c r="R12" s="11">
        <v>0.20513075044843501</v>
      </c>
      <c r="S12" s="11">
        <v>0.11613295566873</v>
      </c>
      <c r="T12" s="11">
        <v>0.24801022780197499</v>
      </c>
      <c r="U12" s="11">
        <v>0.223624391691672</v>
      </c>
      <c r="V12" s="11">
        <v>0.25064135522724201</v>
      </c>
      <c r="W12" s="11">
        <v>0.171990752192026</v>
      </c>
      <c r="X12" s="11">
        <v>0.21865320442542799</v>
      </c>
      <c r="Y12" s="11">
        <v>0.19583313106608799</v>
      </c>
      <c r="Z12" s="12">
        <v>0.27314692113524902</v>
      </c>
    </row>
    <row r="13" spans="1:26" ht="15" thickBot="1" x14ac:dyDescent="0.35">
      <c r="A13" s="65">
        <v>8</v>
      </c>
      <c r="B13" s="10">
        <v>1.20665402501972E-4</v>
      </c>
      <c r="C13" s="11">
        <v>3.89970267581099E-4</v>
      </c>
      <c r="D13" s="11">
        <v>1.5024882946155199E-2</v>
      </c>
      <c r="E13" s="11">
        <v>9.3582984736613299E-4</v>
      </c>
      <c r="F13" s="11">
        <v>2.71377689996667E-3</v>
      </c>
      <c r="G13" s="11">
        <v>0</v>
      </c>
      <c r="H13" s="11">
        <v>2.5572560842445599E-4</v>
      </c>
      <c r="I13" s="11">
        <v>2.7467514807638298E-2</v>
      </c>
      <c r="J13" s="11">
        <v>2.4871275540200102E-2</v>
      </c>
      <c r="K13" s="11">
        <v>1.35677787473531E-2</v>
      </c>
      <c r="L13" s="11">
        <v>2.2029266896525499E-4</v>
      </c>
      <c r="M13" s="11">
        <v>3.2435625601778999E-3</v>
      </c>
      <c r="N13" s="11">
        <v>5.2643000887705701E-4</v>
      </c>
      <c r="O13" s="11">
        <v>1.16495964150459E-3</v>
      </c>
      <c r="P13" s="11">
        <v>1.00457590099743E-3</v>
      </c>
      <c r="Q13" s="11">
        <v>1.5265805575712999E-3</v>
      </c>
      <c r="R13" s="11">
        <v>1.39870140444915E-3</v>
      </c>
      <c r="S13" s="11">
        <v>1.52062888807179E-2</v>
      </c>
      <c r="T13" s="11">
        <v>3.8355862322307999E-3</v>
      </c>
      <c r="U13" s="11">
        <v>1.8919152914122701E-3</v>
      </c>
      <c r="V13" s="11">
        <v>7.4102038255214097E-3</v>
      </c>
      <c r="W13" s="11">
        <v>3.98486775168565E-4</v>
      </c>
      <c r="X13" s="11">
        <v>1.2972169023967001E-4</v>
      </c>
      <c r="Y13" s="11">
        <v>8.0553879571171696E-4</v>
      </c>
      <c r="Z13" s="12">
        <v>9.7661399382555189E-4</v>
      </c>
    </row>
    <row r="14" spans="1:26" ht="15" thickBot="1" x14ac:dyDescent="0.35">
      <c r="A14" s="65">
        <v>9</v>
      </c>
      <c r="B14" s="10">
        <v>2.9542517471875598E-2</v>
      </c>
      <c r="C14" s="11">
        <v>5.8390700397720499E-2</v>
      </c>
      <c r="D14" s="11">
        <v>1.7043331891018601E-2</v>
      </c>
      <c r="E14" s="11">
        <v>2.2643414922966201E-2</v>
      </c>
      <c r="F14" s="11">
        <v>3.3583888739082197E-2</v>
      </c>
      <c r="G14" s="11">
        <v>0</v>
      </c>
      <c r="H14" s="11">
        <v>7.8740211621395398E-3</v>
      </c>
      <c r="I14" s="11">
        <v>2.4962355987093E-2</v>
      </c>
      <c r="J14" s="11">
        <v>0.28658766313544498</v>
      </c>
      <c r="K14" s="11">
        <v>0.16469841466502599</v>
      </c>
      <c r="L14" s="11">
        <v>3.8876422715385703E-2</v>
      </c>
      <c r="M14" s="11">
        <v>6.2472320034362297E-3</v>
      </c>
      <c r="N14" s="11">
        <v>2.7572583806540801E-3</v>
      </c>
      <c r="O14" s="11">
        <v>4.2028040485470701E-3</v>
      </c>
      <c r="P14" s="11">
        <v>5.3679115155426298E-3</v>
      </c>
      <c r="Q14" s="11">
        <v>8.5210321048727004E-3</v>
      </c>
      <c r="R14" s="11">
        <v>8.4214188067408095E-3</v>
      </c>
      <c r="S14" s="11">
        <v>1.7348901432181201E-3</v>
      </c>
      <c r="T14" s="11">
        <v>4.4240285646965699E-3</v>
      </c>
      <c r="U14" s="11">
        <v>3.7540117061461403E-2</v>
      </c>
      <c r="V14" s="11">
        <v>5.6921309836203303E-3</v>
      </c>
      <c r="W14" s="11">
        <v>3.4032556524914602E-3</v>
      </c>
      <c r="X14" s="11">
        <v>7.9044607078611995E-2</v>
      </c>
      <c r="Y14" s="11">
        <v>1.4169102128574E-2</v>
      </c>
      <c r="Z14" s="12">
        <v>8.1007425762811298E-3</v>
      </c>
    </row>
    <row r="15" spans="1:26" ht="28.8" customHeight="1" thickBot="1" x14ac:dyDescent="0.35">
      <c r="A15" s="65">
        <v>10</v>
      </c>
      <c r="B15" s="10">
        <v>6.4968331746511506E-5</v>
      </c>
      <c r="C15" s="11">
        <v>5.6168127232145102E-5</v>
      </c>
      <c r="D15" s="11">
        <v>1.16863530006589E-4</v>
      </c>
      <c r="E15" s="11">
        <v>2.3909216238776301E-4</v>
      </c>
      <c r="F15" s="11">
        <v>5.9965128346685201E-5</v>
      </c>
      <c r="G15" s="11">
        <v>0</v>
      </c>
      <c r="H15" s="11">
        <v>6.4812141570801999E-5</v>
      </c>
      <c r="I15" s="11">
        <v>5.0257796935326802E-5</v>
      </c>
      <c r="J15" s="11">
        <v>2.9612732250013899E-4</v>
      </c>
      <c r="K15" s="11">
        <v>1.9248267704526301E-4</v>
      </c>
      <c r="L15" s="11">
        <v>3.3132932629420598E-5</v>
      </c>
      <c r="M15" s="11">
        <v>1.34808221247282E-3</v>
      </c>
      <c r="N15" s="11">
        <v>1.2735559023642599E-3</v>
      </c>
      <c r="O15" s="11">
        <v>3.9208697355940902E-4</v>
      </c>
      <c r="P15" s="11">
        <v>1.5854003549319799E-3</v>
      </c>
      <c r="Q15" s="11">
        <v>7.9060228255434101E-3</v>
      </c>
      <c r="R15" s="11">
        <v>1.41630635044887E-3</v>
      </c>
      <c r="S15" s="11">
        <v>1.18464105549092E-5</v>
      </c>
      <c r="T15" s="11">
        <v>6.8811509304374298E-5</v>
      </c>
      <c r="U15" s="11">
        <v>3.1993214435477801E-4</v>
      </c>
      <c r="V15" s="11">
        <v>3.5692158762785301E-4</v>
      </c>
      <c r="W15" s="11">
        <v>6.2075381133510905E-5</v>
      </c>
      <c r="X15" s="11">
        <v>4.2732730454769401E-5</v>
      </c>
      <c r="Y15" s="11">
        <v>1.4961468621482599E-4</v>
      </c>
      <c r="Z15" s="12">
        <v>1.05377261800816E-4</v>
      </c>
    </row>
    <row r="16" spans="1:26" ht="15" thickBot="1" x14ac:dyDescent="0.35">
      <c r="A16" s="65">
        <v>11</v>
      </c>
      <c r="B16" s="10">
        <v>1.4484177093716501E-2</v>
      </c>
      <c r="C16" s="11">
        <v>2.5603862569102302E-2</v>
      </c>
      <c r="D16" s="11">
        <v>2.7720864708768202E-2</v>
      </c>
      <c r="E16" s="11">
        <v>6.2984282932331201E-2</v>
      </c>
      <c r="F16" s="11">
        <v>0.121995476180876</v>
      </c>
      <c r="G16" s="11">
        <v>0</v>
      </c>
      <c r="H16" s="11">
        <v>2.2884664348122599E-2</v>
      </c>
      <c r="I16" s="11">
        <v>1.6353183690639199E-2</v>
      </c>
      <c r="J16" s="11">
        <v>4.3304041925318199E-2</v>
      </c>
      <c r="K16" s="11">
        <v>4.2805069711458803E-2</v>
      </c>
      <c r="L16" s="11">
        <v>0.33491679370945199</v>
      </c>
      <c r="M16" s="11">
        <v>6.6553674485956102E-2</v>
      </c>
      <c r="N16" s="11">
        <v>2.8775742312845701E-2</v>
      </c>
      <c r="O16" s="11">
        <v>4.13700352637658E-2</v>
      </c>
      <c r="P16" s="11">
        <v>2.4184126210035201E-2</v>
      </c>
      <c r="Q16" s="11">
        <v>4.3423477728635099E-2</v>
      </c>
      <c r="R16" s="11">
        <v>2.1268709155750701E-2</v>
      </c>
      <c r="S16" s="11">
        <v>6.7082702050553396E-3</v>
      </c>
      <c r="T16" s="11">
        <v>1.38998602410568E-2</v>
      </c>
      <c r="U16" s="11">
        <v>2.1620419428628E-2</v>
      </c>
      <c r="V16" s="11">
        <v>3.64865184906734E-2</v>
      </c>
      <c r="W16" s="11">
        <v>1.7261211716239101E-2</v>
      </c>
      <c r="X16" s="11">
        <v>3.0634544876883101E-2</v>
      </c>
      <c r="Y16" s="11">
        <v>6.0127035812062302E-2</v>
      </c>
      <c r="Z16" s="12">
        <v>4.8210825376972098E-2</v>
      </c>
    </row>
    <row r="17" spans="1:26" ht="15" thickBot="1" x14ac:dyDescent="0.35">
      <c r="A17" s="65">
        <v>12</v>
      </c>
      <c r="B17" s="10">
        <v>5.2209256568337096E-4</v>
      </c>
      <c r="C17" s="11">
        <v>5.2750130855218E-4</v>
      </c>
      <c r="D17" s="11">
        <v>6.87373443695964E-4</v>
      </c>
      <c r="E17" s="11">
        <v>2.4596614901793898E-3</v>
      </c>
      <c r="F17" s="11">
        <v>4.83237751454005E-4</v>
      </c>
      <c r="G17" s="11">
        <v>0</v>
      </c>
      <c r="H17" s="11">
        <v>4.3929874289434898E-4</v>
      </c>
      <c r="I17" s="11">
        <v>7.7291359693223603E-4</v>
      </c>
      <c r="J17" s="11">
        <v>4.2529339831226998E-4</v>
      </c>
      <c r="K17" s="11">
        <v>6.1280137205073696E-4</v>
      </c>
      <c r="L17" s="11">
        <v>5.3799116996104299E-4</v>
      </c>
      <c r="M17" s="11">
        <v>7.1961796181887604E-4</v>
      </c>
      <c r="N17" s="11">
        <v>1.13697590309345E-3</v>
      </c>
      <c r="O17" s="11">
        <v>2.5313492264794299E-5</v>
      </c>
      <c r="P17" s="11">
        <v>7.0830397152474994E-5</v>
      </c>
      <c r="Q17" s="11">
        <v>1.1184290744418301E-3</v>
      </c>
      <c r="R17" s="11">
        <v>3.8732995840682E-4</v>
      </c>
      <c r="S17" s="11">
        <v>4.4668142943733103E-5</v>
      </c>
      <c r="T17" s="11">
        <v>2.8786347844142202E-4</v>
      </c>
      <c r="U17" s="11">
        <v>2.9598710399619598E-4</v>
      </c>
      <c r="V17" s="11">
        <v>2.1519638534748801E-4</v>
      </c>
      <c r="W17" s="11">
        <v>3.6311539908707199E-4</v>
      </c>
      <c r="X17" s="11">
        <v>2.8641762561943301E-4</v>
      </c>
      <c r="Y17" s="11">
        <v>6.4299257977669898E-4</v>
      </c>
      <c r="Z17" s="12">
        <v>2.66186174451396E-4</v>
      </c>
    </row>
    <row r="18" spans="1:26" ht="15" thickBot="1" x14ac:dyDescent="0.35">
      <c r="A18" s="65">
        <v>13</v>
      </c>
      <c r="B18" s="10">
        <v>3.6696571169268002E-4</v>
      </c>
      <c r="C18" s="11">
        <v>4.8642389484895501E-4</v>
      </c>
      <c r="D18" s="11">
        <v>3.0021603746912802E-4</v>
      </c>
      <c r="E18" s="11">
        <v>5.5730983790495405E-4</v>
      </c>
      <c r="F18" s="11">
        <v>4.7738738216998198E-4</v>
      </c>
      <c r="G18" s="11">
        <v>0</v>
      </c>
      <c r="H18" s="11">
        <v>3.8801385610815403E-4</v>
      </c>
      <c r="I18" s="11">
        <v>3.7519660920142298E-4</v>
      </c>
      <c r="J18" s="11">
        <v>7.31941401384286E-4</v>
      </c>
      <c r="K18" s="11">
        <v>8.5005741032669296E-4</v>
      </c>
      <c r="L18" s="11">
        <v>3.7171433829156299E-4</v>
      </c>
      <c r="M18" s="11">
        <v>3.5434027844818898E-3</v>
      </c>
      <c r="N18" s="11">
        <v>6.79288636123394E-3</v>
      </c>
      <c r="O18" s="11">
        <v>3.8517730902787699E-5</v>
      </c>
      <c r="P18" s="11">
        <v>7.0111862860957306E-5</v>
      </c>
      <c r="Q18" s="11">
        <v>6.6328520490896601E-3</v>
      </c>
      <c r="R18" s="11">
        <v>4.2816822720828901E-4</v>
      </c>
      <c r="S18" s="11">
        <v>6.8120025825304804E-5</v>
      </c>
      <c r="T18" s="11">
        <v>9.19745293682914E-5</v>
      </c>
      <c r="U18" s="11">
        <v>6.7408584240252604E-4</v>
      </c>
      <c r="V18" s="11">
        <v>2.37480794700465E-4</v>
      </c>
      <c r="W18" s="11">
        <v>4.5294245703659402E-4</v>
      </c>
      <c r="X18" s="11">
        <v>3.0166431587437E-4</v>
      </c>
      <c r="Y18" s="11">
        <v>8.0542141119244398E-4</v>
      </c>
      <c r="Z18" s="12">
        <v>4.1394801852660899E-4</v>
      </c>
    </row>
    <row r="19" spans="1:26" ht="28.8" customHeight="1" thickBot="1" x14ac:dyDescent="0.35">
      <c r="A19" s="65">
        <v>14</v>
      </c>
      <c r="B19" s="10">
        <v>2.3918451099174602E-3</v>
      </c>
      <c r="C19" s="11">
        <v>2.8444374760220898E-3</v>
      </c>
      <c r="D19" s="11">
        <v>3.2604046474851698E-3</v>
      </c>
      <c r="E19" s="11">
        <v>1.12688624834559E-2</v>
      </c>
      <c r="F19" s="11">
        <v>2.1653467549359101E-3</v>
      </c>
      <c r="G19" s="11">
        <v>0</v>
      </c>
      <c r="H19" s="11">
        <v>1.90718509519746E-3</v>
      </c>
      <c r="I19" s="11">
        <v>3.0527590879217701E-3</v>
      </c>
      <c r="J19" s="11">
        <v>2.84867483201436E-3</v>
      </c>
      <c r="K19" s="11">
        <v>5.1947964909021104E-3</v>
      </c>
      <c r="L19" s="11">
        <v>2.2439053528054398E-3</v>
      </c>
      <c r="M19" s="11">
        <v>2.6375739104553702E-3</v>
      </c>
      <c r="N19" s="11">
        <v>4.2325752480662704E-3</v>
      </c>
      <c r="O19" s="11">
        <v>2.91540158617657E-4</v>
      </c>
      <c r="P19" s="11">
        <v>3.6528154093082098E-4</v>
      </c>
      <c r="Q19" s="11">
        <v>4.35813813089203E-3</v>
      </c>
      <c r="R19" s="11">
        <v>1.9166808225140699E-3</v>
      </c>
      <c r="S19" s="11">
        <v>1.9109061636063499E-4</v>
      </c>
      <c r="T19" s="11">
        <v>1.6290355011986299E-3</v>
      </c>
      <c r="U19" s="11">
        <v>9.9866333611287007E-4</v>
      </c>
      <c r="V19" s="11">
        <v>9.8659581440141008E-4</v>
      </c>
      <c r="W19" s="11">
        <v>1.4668904821445901E-3</v>
      </c>
      <c r="X19" s="11">
        <v>1.1654164756963101E-3</v>
      </c>
      <c r="Y19" s="11">
        <v>3.23340357727675E-3</v>
      </c>
      <c r="Z19" s="12">
        <v>1.5899244674677699E-3</v>
      </c>
    </row>
    <row r="20" spans="1:26" ht="15" thickBot="1" x14ac:dyDescent="0.35">
      <c r="A20" s="65">
        <v>15</v>
      </c>
      <c r="B20" s="10">
        <v>4.8839240862371303E-4</v>
      </c>
      <c r="C20" s="11">
        <v>4.9480403425147302E-4</v>
      </c>
      <c r="D20" s="11">
        <v>5.0483670749205999E-3</v>
      </c>
      <c r="E20" s="11">
        <v>1.93946964053693E-3</v>
      </c>
      <c r="F20" s="11">
        <v>8.6343632504242297E-4</v>
      </c>
      <c r="G20" s="11">
        <v>0</v>
      </c>
      <c r="H20" s="11">
        <v>5.2597053778846595E-4</v>
      </c>
      <c r="I20" s="11">
        <v>8.5239750371726292E-3</v>
      </c>
      <c r="J20" s="11">
        <v>9.9851559774915091E-4</v>
      </c>
      <c r="K20" s="11">
        <v>2.0493710220322999E-3</v>
      </c>
      <c r="L20" s="11">
        <v>6.0134330073378798E-4</v>
      </c>
      <c r="M20" s="11">
        <v>4.5996704773458097E-3</v>
      </c>
      <c r="N20" s="11">
        <v>1.15889180284452E-3</v>
      </c>
      <c r="O20" s="11">
        <v>5.0043108503066303E-4</v>
      </c>
      <c r="P20" s="11">
        <v>1.1716820117753E-3</v>
      </c>
      <c r="Q20" s="11">
        <v>1.1765621270372699E-3</v>
      </c>
      <c r="R20" s="11">
        <v>1.39324702242731E-3</v>
      </c>
      <c r="S20" s="11">
        <v>1.05289100673003E-4</v>
      </c>
      <c r="T20" s="11">
        <v>2.3002947634553699E-4</v>
      </c>
      <c r="U20" s="11">
        <v>2.37490923952167E-4</v>
      </c>
      <c r="V20" s="11">
        <v>1.66201091272943E-3</v>
      </c>
      <c r="W20" s="11">
        <v>3.2175008896766E-4</v>
      </c>
      <c r="X20" s="11">
        <v>2.4707855116555099E-4</v>
      </c>
      <c r="Y20" s="11">
        <v>5.48444844108663E-4</v>
      </c>
      <c r="Z20" s="12">
        <v>5.5518738067298799E-4</v>
      </c>
    </row>
    <row r="21" spans="1:26" ht="15" thickBot="1" x14ac:dyDescent="0.35">
      <c r="A21" s="65">
        <v>16</v>
      </c>
      <c r="B21" s="10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2">
        <v>0</v>
      </c>
    </row>
    <row r="22" spans="1:26" ht="15" thickBot="1" x14ac:dyDescent="0.35">
      <c r="A22" s="65">
        <v>17</v>
      </c>
      <c r="B22" s="10">
        <v>1.01023472290714E-4</v>
      </c>
      <c r="C22" s="11">
        <v>1.05970239878599E-4</v>
      </c>
      <c r="D22" s="11">
        <v>1.0702381950003601E-3</v>
      </c>
      <c r="E22" s="11">
        <v>4.0806186250156402E-4</v>
      </c>
      <c r="F22" s="11">
        <v>1.7949554237237499E-4</v>
      </c>
      <c r="G22" s="11">
        <v>0</v>
      </c>
      <c r="H22" s="11">
        <v>1.0707470129596801E-4</v>
      </c>
      <c r="I22" s="11">
        <v>1.8085451879186699E-3</v>
      </c>
      <c r="J22" s="11">
        <v>2.47447286648793E-4</v>
      </c>
      <c r="K22" s="11">
        <v>4.4398889210800501E-4</v>
      </c>
      <c r="L22" s="11">
        <v>1.28295855622116E-4</v>
      </c>
      <c r="M22" s="11">
        <v>9.8015323804651793E-4</v>
      </c>
      <c r="N22" s="11">
        <v>2.6405504465671601E-4</v>
      </c>
      <c r="O22" s="11">
        <v>1.08428264766023E-4</v>
      </c>
      <c r="P22" s="11">
        <v>2.4912174711847499E-4</v>
      </c>
      <c r="Q22" s="11">
        <v>2.6994882573720902E-4</v>
      </c>
      <c r="R22" s="11">
        <v>3.0516852975766702E-4</v>
      </c>
      <c r="S22" s="11">
        <v>2.6182668550610201E-5</v>
      </c>
      <c r="T22" s="11">
        <v>4.88013670586617E-5</v>
      </c>
      <c r="U22" s="11">
        <v>5.4862927683434802E-5</v>
      </c>
      <c r="V22" s="11">
        <v>3.5371043151522299E-4</v>
      </c>
      <c r="W22" s="11">
        <v>8.3952242243834094E-5</v>
      </c>
      <c r="X22" s="11">
        <v>5.5877312525326101E-5</v>
      </c>
      <c r="Y22" s="11">
        <v>1.2711819383744101E-4</v>
      </c>
      <c r="Z22" s="12">
        <v>1.4003466932065701E-4</v>
      </c>
    </row>
    <row r="23" spans="1:26" ht="28.8" customHeight="1" thickBot="1" x14ac:dyDescent="0.35">
      <c r="A23" s="65">
        <v>18</v>
      </c>
      <c r="B23" s="10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2">
        <v>0</v>
      </c>
    </row>
    <row r="24" spans="1:26" ht="15" thickBot="1" x14ac:dyDescent="0.35">
      <c r="A24" s="65">
        <v>19</v>
      </c>
      <c r="B24" s="10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2">
        <v>0</v>
      </c>
    </row>
    <row r="25" spans="1:26" ht="28.8" customHeight="1" thickBot="1" x14ac:dyDescent="0.35">
      <c r="A25" s="65">
        <v>20</v>
      </c>
      <c r="B25" s="10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2">
        <v>0</v>
      </c>
    </row>
    <row r="26" spans="1:26" ht="15" thickBot="1" x14ac:dyDescent="0.35">
      <c r="A26" s="65">
        <v>21</v>
      </c>
      <c r="B26" s="10">
        <v>2.22091646926935E-2</v>
      </c>
      <c r="C26" s="11">
        <v>1.9141422326554299E-2</v>
      </c>
      <c r="D26" s="11">
        <v>2.0247649677415901E-2</v>
      </c>
      <c r="E26" s="11">
        <v>4.6872132726848002E-2</v>
      </c>
      <c r="F26" s="11">
        <v>2.9922517160498499E-2</v>
      </c>
      <c r="G26" s="11">
        <v>0</v>
      </c>
      <c r="H26" s="11">
        <v>2.03378861984044E-2</v>
      </c>
      <c r="I26" s="11">
        <v>1.42286015326123E-2</v>
      </c>
      <c r="J26" s="11">
        <v>1.52895197882425E-2</v>
      </c>
      <c r="K26" s="11">
        <v>3.1988800569947601E-2</v>
      </c>
      <c r="L26" s="11">
        <v>1.6782679150205801E-2</v>
      </c>
      <c r="M26" s="11">
        <v>2.8496385389400199E-2</v>
      </c>
      <c r="N26" s="11">
        <v>1.21743853468408E-2</v>
      </c>
      <c r="O26" s="11">
        <v>1.1860851130276E-2</v>
      </c>
      <c r="P26" s="11">
        <v>2.4799956058600098E-2</v>
      </c>
      <c r="Q26" s="11">
        <v>3.9300428998772403E-2</v>
      </c>
      <c r="R26" s="11">
        <v>2.5392930060305099E-2</v>
      </c>
      <c r="S26" s="11">
        <v>3.6822023518479997E-2</v>
      </c>
      <c r="T26" s="11">
        <v>4.6184851090420302E-2</v>
      </c>
      <c r="U26" s="11">
        <v>5.5577535786091203E-2</v>
      </c>
      <c r="V26" s="11">
        <v>7.6365619622057304E-2</v>
      </c>
      <c r="W26" s="11">
        <v>1.8150182660851E-2</v>
      </c>
      <c r="X26" s="11">
        <v>1.2231703456507001E-2</v>
      </c>
      <c r="Y26" s="11">
        <v>3.0095372305840001E-2</v>
      </c>
      <c r="Z26" s="12">
        <v>3.9467346018847597E-2</v>
      </c>
    </row>
    <row r="27" spans="1:26" ht="15" thickBot="1" x14ac:dyDescent="0.35">
      <c r="A27" s="65">
        <v>22</v>
      </c>
      <c r="B27" s="10">
        <v>2.6363103310189E-4</v>
      </c>
      <c r="C27" s="11">
        <v>2.4065256568668101E-4</v>
      </c>
      <c r="D27" s="11">
        <v>2.4599557233919399E-4</v>
      </c>
      <c r="E27" s="11">
        <v>3.6961142917617002E-4</v>
      </c>
      <c r="F27" s="11">
        <v>2.6220324911981698E-4</v>
      </c>
      <c r="G27" s="11">
        <v>0</v>
      </c>
      <c r="H27" s="11">
        <v>1.84981306083288E-3</v>
      </c>
      <c r="I27" s="11">
        <v>1.9724403029211301E-4</v>
      </c>
      <c r="J27" s="11">
        <v>3.5476681661118699E-4</v>
      </c>
      <c r="K27" s="11">
        <v>6.9350940220937901E-4</v>
      </c>
      <c r="L27" s="11">
        <v>3.4382595911888302E-4</v>
      </c>
      <c r="M27" s="11">
        <v>6.66443755289816E-4</v>
      </c>
      <c r="N27" s="11">
        <v>1.28460364146273E-3</v>
      </c>
      <c r="O27" s="11">
        <v>5.5933385255008399E-4</v>
      </c>
      <c r="P27" s="11">
        <v>1.4619036268246799E-3</v>
      </c>
      <c r="Q27" s="11">
        <v>1.0173245740296101E-3</v>
      </c>
      <c r="R27" s="11">
        <v>8.2127116296431104E-4</v>
      </c>
      <c r="S27" s="11">
        <v>1.940454955051E-3</v>
      </c>
      <c r="T27" s="11">
        <v>2.6109426775632402E-4</v>
      </c>
      <c r="U27" s="11">
        <v>1.90919636417208E-3</v>
      </c>
      <c r="V27" s="11">
        <v>6.6912662550045496E-4</v>
      </c>
      <c r="W27" s="11">
        <v>1.1921982684464399E-2</v>
      </c>
      <c r="X27" s="11">
        <v>1.4135707015807001E-3</v>
      </c>
      <c r="Y27" s="11">
        <v>1.96209790268004E-3</v>
      </c>
      <c r="Z27" s="12">
        <v>1.57616838691568E-3</v>
      </c>
    </row>
    <row r="28" spans="1:26" ht="15" thickBot="1" x14ac:dyDescent="0.35">
      <c r="A28" s="65">
        <v>23</v>
      </c>
      <c r="B28" s="10">
        <v>2.7529415521472398E-4</v>
      </c>
      <c r="C28" s="11">
        <v>2.04415359774232E-4</v>
      </c>
      <c r="D28" s="11">
        <v>1.5879554792403499E-4</v>
      </c>
      <c r="E28" s="11">
        <v>4.4035335320892998E-4</v>
      </c>
      <c r="F28" s="11">
        <v>4.0263152232367002E-4</v>
      </c>
      <c r="G28" s="11">
        <v>0</v>
      </c>
      <c r="H28" s="11">
        <v>2.0731388649350901E-3</v>
      </c>
      <c r="I28" s="11">
        <v>2.0242080825696399E-4</v>
      </c>
      <c r="J28" s="11">
        <v>2.99370094272636E-4</v>
      </c>
      <c r="K28" s="11">
        <v>8.09253413078774E-4</v>
      </c>
      <c r="L28" s="11">
        <v>6.9676251086159995E-4</v>
      </c>
      <c r="M28" s="11">
        <v>5.3793287204814905E-4</v>
      </c>
      <c r="N28" s="11">
        <v>3.3677362055066501E-4</v>
      </c>
      <c r="O28" s="11">
        <v>8.8424532245259097E-4</v>
      </c>
      <c r="P28" s="11">
        <v>4.3302384103292499E-4</v>
      </c>
      <c r="Q28" s="11">
        <v>3.28729824259229E-4</v>
      </c>
      <c r="R28" s="11">
        <v>3.6633293743371001E-4</v>
      </c>
      <c r="S28" s="11">
        <v>4.7077392619808298E-4</v>
      </c>
      <c r="T28" s="11">
        <v>3.4873697412372303E-4</v>
      </c>
      <c r="U28" s="11">
        <v>3.0925258397174302E-4</v>
      </c>
      <c r="V28" s="11">
        <v>2.0499641697104099E-4</v>
      </c>
      <c r="W28" s="11">
        <v>1.25664417123887E-3</v>
      </c>
      <c r="X28" s="11">
        <v>2.1711104597175901E-2</v>
      </c>
      <c r="Y28" s="11">
        <v>3.44567312978768E-3</v>
      </c>
      <c r="Z28" s="12">
        <v>2.5682704112420401E-3</v>
      </c>
    </row>
    <row r="29" spans="1:26" ht="15" thickBot="1" x14ac:dyDescent="0.35">
      <c r="A29" s="65">
        <v>24</v>
      </c>
      <c r="B29" s="10">
        <v>1.02081087847596E-2</v>
      </c>
      <c r="C29" s="11">
        <v>4.2158240414676001E-3</v>
      </c>
      <c r="D29" s="11">
        <v>5.4739623713019698E-3</v>
      </c>
      <c r="E29" s="11">
        <v>3.2015688407412602E-3</v>
      </c>
      <c r="F29" s="11">
        <v>2.8375218547417899E-3</v>
      </c>
      <c r="G29" s="11">
        <v>0</v>
      </c>
      <c r="H29" s="11">
        <v>3.7740150915993799E-3</v>
      </c>
      <c r="I29" s="11">
        <v>1.2526283276512E-3</v>
      </c>
      <c r="J29" s="11">
        <v>3.4312712389129901E-3</v>
      </c>
      <c r="K29" s="11">
        <v>2.37938816742781E-3</v>
      </c>
      <c r="L29" s="11">
        <v>1.4069762012374201E-3</v>
      </c>
      <c r="M29" s="11">
        <v>1.49995270565634E-2</v>
      </c>
      <c r="N29" s="11">
        <v>1.5951830419587001E-2</v>
      </c>
      <c r="O29" s="11">
        <v>2.9010208385224601E-2</v>
      </c>
      <c r="P29" s="11">
        <v>3.74767379819606E-3</v>
      </c>
      <c r="Q29" s="11">
        <v>1.7567815282623502E-2</v>
      </c>
      <c r="R29" s="11">
        <v>3.4811933522660402E-3</v>
      </c>
      <c r="S29" s="11">
        <v>6.5371255212567795E-4</v>
      </c>
      <c r="T29" s="11">
        <v>8.8033648607272895E-4</v>
      </c>
      <c r="U29" s="11">
        <v>2.3194502879786902E-3</v>
      </c>
      <c r="V29" s="11">
        <v>3.8051803508505101E-3</v>
      </c>
      <c r="W29" s="11">
        <v>3.7731039005323001E-3</v>
      </c>
      <c r="X29" s="11">
        <v>3.9170567389686496E-3</v>
      </c>
      <c r="Y29" s="11">
        <v>4.6316261225656297E-2</v>
      </c>
      <c r="Z29" s="12">
        <v>7.2473286377713206E-2</v>
      </c>
    </row>
    <row r="30" spans="1:26" ht="15" thickBot="1" x14ac:dyDescent="0.35">
      <c r="A30" s="65">
        <v>25</v>
      </c>
      <c r="B30" s="14">
        <v>3.64320599992857E-4</v>
      </c>
      <c r="C30" s="15">
        <v>2.3575402106929601E-4</v>
      </c>
      <c r="D30" s="15">
        <v>4.97619397954724E-4</v>
      </c>
      <c r="E30" s="15">
        <v>3.1909637873511098E-4</v>
      </c>
      <c r="F30" s="15">
        <v>4.65807631627812E-4</v>
      </c>
      <c r="G30" s="15">
        <v>0</v>
      </c>
      <c r="H30" s="15">
        <v>5.62812447588724E-4</v>
      </c>
      <c r="I30" s="15">
        <v>3.58582726728274E-4</v>
      </c>
      <c r="J30" s="15">
        <v>7.5142131333864903E-4</v>
      </c>
      <c r="K30" s="15">
        <v>6.4544944623498503E-4</v>
      </c>
      <c r="L30" s="15">
        <v>1.76107114657633E-4</v>
      </c>
      <c r="M30" s="15">
        <v>2.1567165035020499E-4</v>
      </c>
      <c r="N30" s="15">
        <v>4.7267970452912497E-4</v>
      </c>
      <c r="O30" s="15">
        <v>6.0856102487955E-4</v>
      </c>
      <c r="P30" s="15">
        <v>2.8157830766378301E-4</v>
      </c>
      <c r="Q30" s="15">
        <v>4.4962768271646402E-3</v>
      </c>
      <c r="R30" s="15">
        <v>5.6958205677985698E-4</v>
      </c>
      <c r="S30" s="15">
        <v>1.9477810408181199E-4</v>
      </c>
      <c r="T30" s="15">
        <v>1.4593615614314601E-4</v>
      </c>
      <c r="U30" s="15">
        <v>1.3636385273401699E-4</v>
      </c>
      <c r="V30" s="15">
        <v>3.6596595781180198E-4</v>
      </c>
      <c r="W30" s="15">
        <v>2.00533950700308E-4</v>
      </c>
      <c r="X30" s="15">
        <v>5.8566946999952197E-4</v>
      </c>
      <c r="Y30" s="15">
        <v>8.0550439330272401E-3</v>
      </c>
      <c r="Z30" s="16">
        <v>2.90726182216101E-2</v>
      </c>
    </row>
    <row r="32" spans="1:26" x14ac:dyDescent="0.3">
      <c r="A32" s="62" t="s">
        <v>82</v>
      </c>
    </row>
    <row r="33" spans="1:26" ht="15" thickBot="1" x14ac:dyDescent="0.35">
      <c r="A33" s="99" t="s">
        <v>150</v>
      </c>
    </row>
    <row r="34" spans="1:26" ht="15" thickBot="1" x14ac:dyDescent="0.35">
      <c r="A34" s="79" t="s">
        <v>0</v>
      </c>
      <c r="B34" s="3">
        <v>1</v>
      </c>
      <c r="C34" s="3">
        <v>2</v>
      </c>
      <c r="D34" s="3">
        <v>3</v>
      </c>
      <c r="E34" s="3">
        <v>4</v>
      </c>
      <c r="F34" s="3">
        <v>5</v>
      </c>
      <c r="G34" s="3">
        <v>6</v>
      </c>
      <c r="H34" s="3">
        <v>7</v>
      </c>
      <c r="I34" s="3">
        <v>8</v>
      </c>
      <c r="J34" s="3">
        <v>9</v>
      </c>
      <c r="K34" s="3">
        <v>10</v>
      </c>
      <c r="L34" s="3">
        <v>11</v>
      </c>
      <c r="M34" s="3">
        <v>12</v>
      </c>
      <c r="N34" s="3">
        <v>13</v>
      </c>
      <c r="O34" s="3">
        <v>14</v>
      </c>
      <c r="P34" s="3">
        <v>15</v>
      </c>
      <c r="Q34" s="3">
        <v>16</v>
      </c>
      <c r="R34" s="3">
        <v>17</v>
      </c>
      <c r="S34" s="3">
        <v>18</v>
      </c>
      <c r="T34" s="4">
        <v>19</v>
      </c>
      <c r="U34" s="3">
        <v>20</v>
      </c>
      <c r="V34" s="3">
        <v>21</v>
      </c>
      <c r="W34" s="3">
        <v>22</v>
      </c>
      <c r="X34" s="3">
        <v>23</v>
      </c>
      <c r="Y34" s="3">
        <v>24</v>
      </c>
      <c r="Z34" s="5">
        <v>25</v>
      </c>
    </row>
    <row r="35" spans="1:26" ht="15" thickBot="1" x14ac:dyDescent="0.35">
      <c r="A35" s="65">
        <v>1</v>
      </c>
      <c r="B35" s="6">
        <v>0.366764437067015</v>
      </c>
      <c r="C35" s="7">
        <v>5.6936153557802599E-2</v>
      </c>
      <c r="D35" s="7">
        <v>3.4429440165578101E-3</v>
      </c>
      <c r="E35" s="7">
        <v>1.0136938011790201E-2</v>
      </c>
      <c r="F35" s="7">
        <v>6.1847568492036896E-3</v>
      </c>
      <c r="G35" s="7">
        <v>0</v>
      </c>
      <c r="H35" s="7">
        <v>1.7175134639272002E-2</v>
      </c>
      <c r="I35" s="7">
        <v>5.0141643913594099E-3</v>
      </c>
      <c r="J35" s="7">
        <v>3.78155857829022E-2</v>
      </c>
      <c r="K35" s="7">
        <v>3.5500921793597498E-2</v>
      </c>
      <c r="L35" s="7">
        <v>3.3938254570127701E-3</v>
      </c>
      <c r="M35" s="7">
        <v>5.38787293918256E-3</v>
      </c>
      <c r="N35" s="7">
        <v>2.7798432323902201E-3</v>
      </c>
      <c r="O35" s="7">
        <v>5.0381707423904397E-3</v>
      </c>
      <c r="P35" s="7">
        <v>1.433003571615E-2</v>
      </c>
      <c r="Q35" s="7">
        <v>1.80520831719681E-2</v>
      </c>
      <c r="R35" s="7">
        <v>1.2001255766510699E-2</v>
      </c>
      <c r="S35" s="7">
        <v>5.6387895162083701E-4</v>
      </c>
      <c r="T35" s="7">
        <v>4.17798119185452E-3</v>
      </c>
      <c r="U35" s="7">
        <v>1.93280779894325E-3</v>
      </c>
      <c r="V35" s="7">
        <v>9.6009390723815202E-3</v>
      </c>
      <c r="W35" s="7">
        <v>6.8781522715970602E-3</v>
      </c>
      <c r="X35" s="7">
        <v>1.8393202038955399E-2</v>
      </c>
      <c r="Y35" s="7">
        <v>8.3612088645359101E-3</v>
      </c>
      <c r="Z35" s="8">
        <v>5.6125556400721203E-3</v>
      </c>
    </row>
    <row r="36" spans="1:26" ht="28.8" customHeight="1" thickBot="1" x14ac:dyDescent="0.35">
      <c r="A36" s="65">
        <v>2</v>
      </c>
      <c r="B36" s="10">
        <v>1.04732142425419E-2</v>
      </c>
      <c r="C36" s="11">
        <v>0.32533491598964098</v>
      </c>
      <c r="D36" s="11">
        <v>1.1274200567743199E-3</v>
      </c>
      <c r="E36" s="11">
        <v>3.6428530507204501E-3</v>
      </c>
      <c r="F36" s="11">
        <v>1.1908302211003099E-2</v>
      </c>
      <c r="G36" s="11">
        <v>0</v>
      </c>
      <c r="H36" s="11">
        <v>6.8454588804570402E-3</v>
      </c>
      <c r="I36" s="11">
        <v>8.0281680797446796E-4</v>
      </c>
      <c r="J36" s="11">
        <v>2.91293409170361E-2</v>
      </c>
      <c r="K36" s="11">
        <v>1.09827113608068E-2</v>
      </c>
      <c r="L36" s="11">
        <v>1.1185089989074099E-2</v>
      </c>
      <c r="M36" s="11">
        <v>2.7317750252387999E-3</v>
      </c>
      <c r="N36" s="11">
        <v>1.28259747826954E-3</v>
      </c>
      <c r="O36" s="11">
        <v>4.3773198457663998E-3</v>
      </c>
      <c r="P36" s="11">
        <v>1.71678681885088E-3</v>
      </c>
      <c r="Q36" s="11">
        <v>9.0282009988773906E-3</v>
      </c>
      <c r="R36" s="11">
        <v>7.6668994737295899E-3</v>
      </c>
      <c r="S36" s="11">
        <v>4.9298127979361599E-4</v>
      </c>
      <c r="T36" s="11">
        <v>2.52991793737436E-3</v>
      </c>
      <c r="U36" s="11">
        <v>1.9467408261539601E-3</v>
      </c>
      <c r="V36" s="11">
        <v>3.1147483776872101E-3</v>
      </c>
      <c r="W36" s="11">
        <v>3.5739834279721601E-3</v>
      </c>
      <c r="X36" s="11">
        <v>1.0387486423615099E-2</v>
      </c>
      <c r="Y36" s="11">
        <v>6.4463070778641701E-3</v>
      </c>
      <c r="Z36" s="12">
        <v>4.7815925112398502E-3</v>
      </c>
    </row>
    <row r="37" spans="1:26" ht="15" thickBot="1" x14ac:dyDescent="0.35">
      <c r="A37" s="65">
        <v>3</v>
      </c>
      <c r="B37" s="10">
        <v>7.9741414354581128E-3</v>
      </c>
      <c r="C37" s="11">
        <v>1.2601759445447147E-2</v>
      </c>
      <c r="D37" s="11">
        <v>0.21361162999271963</v>
      </c>
      <c r="E37" s="11">
        <v>3.1503626413804206E-2</v>
      </c>
      <c r="F37" s="11">
        <v>1.7876842142991681E-2</v>
      </c>
      <c r="G37" s="11">
        <v>0</v>
      </c>
      <c r="H37" s="11">
        <v>4.8525920727024016E-3</v>
      </c>
      <c r="I37" s="11">
        <v>0.38004708650231495</v>
      </c>
      <c r="J37" s="11">
        <v>1.6761930449246308E-2</v>
      </c>
      <c r="K37" s="11">
        <v>5.8044189026637223E-2</v>
      </c>
      <c r="L37" s="11">
        <v>6.7213711829833276E-3</v>
      </c>
      <c r="M37" s="11">
        <v>0.15164821448489305</v>
      </c>
      <c r="N37" s="11">
        <v>6.1408266537033235E-3</v>
      </c>
      <c r="O37" s="11">
        <v>1.1607571072613329E-2</v>
      </c>
      <c r="P37" s="11">
        <v>1.1126726243908687E-2</v>
      </c>
      <c r="Q37" s="11">
        <v>2.5816883586223791E-2</v>
      </c>
      <c r="R37" s="11">
        <v>1.0007416613870239E-2</v>
      </c>
      <c r="S37" s="11">
        <v>0.33243716251909394</v>
      </c>
      <c r="T37" s="11">
        <v>9.5223079450081877E-2</v>
      </c>
      <c r="U37" s="11">
        <v>1.7132926555936456E-2</v>
      </c>
      <c r="V37" s="11">
        <v>6.0459315275482095E-2</v>
      </c>
      <c r="W37" s="11">
        <v>4.7664127319577603E-3</v>
      </c>
      <c r="X37" s="11">
        <v>2.6573716015599698E-3</v>
      </c>
      <c r="Y37" s="11">
        <v>1.1601443006351133E-2</v>
      </c>
      <c r="Z37" s="12">
        <v>6.9153850900769039E-3</v>
      </c>
    </row>
    <row r="38" spans="1:26" ht="15" thickBot="1" x14ac:dyDescent="0.35">
      <c r="A38" s="65">
        <v>4</v>
      </c>
      <c r="B38" s="10">
        <v>1.43220520971863E-3</v>
      </c>
      <c r="C38" s="11">
        <v>1.4268957582058001E-3</v>
      </c>
      <c r="D38" s="11">
        <v>1.9578642921931101E-3</v>
      </c>
      <c r="E38" s="11">
        <v>6.4914503403267501E-2</v>
      </c>
      <c r="F38" s="11">
        <v>2.7359926129808199E-2</v>
      </c>
      <c r="G38" s="11">
        <v>0</v>
      </c>
      <c r="H38" s="11">
        <v>5.5086168479186398E-4</v>
      </c>
      <c r="I38" s="11">
        <v>3.45204015330406E-3</v>
      </c>
      <c r="J38" s="11">
        <v>1.46930932970751E-2</v>
      </c>
      <c r="K38" s="11">
        <v>1.34364995746756E-2</v>
      </c>
      <c r="L38" s="11">
        <v>4.0082774588121699E-3</v>
      </c>
      <c r="M38" s="11">
        <v>1.9221834512063701E-3</v>
      </c>
      <c r="N38" s="11">
        <v>1.74522103786469E-3</v>
      </c>
      <c r="O38" s="11">
        <v>6.4760180242956402E-3</v>
      </c>
      <c r="P38" s="11">
        <v>2.55245766891448E-3</v>
      </c>
      <c r="Q38" s="11">
        <v>2.6580861581568002E-3</v>
      </c>
      <c r="R38" s="11">
        <v>1.0069468126353299E-2</v>
      </c>
      <c r="S38" s="11">
        <v>8.0348899423680306E-5</v>
      </c>
      <c r="T38" s="11">
        <v>1.0652903788578499E-2</v>
      </c>
      <c r="U38" s="11">
        <v>3.3371316911224901E-3</v>
      </c>
      <c r="V38" s="11">
        <v>4.1413067272714799E-4</v>
      </c>
      <c r="W38" s="11">
        <v>3.8421553593666899E-4</v>
      </c>
      <c r="X38" s="11">
        <v>5.9443271960444297E-4</v>
      </c>
      <c r="Y38" s="11">
        <v>3.12235208334051E-3</v>
      </c>
      <c r="Z38" s="12">
        <v>1.4937170851287199E-3</v>
      </c>
    </row>
    <row r="39" spans="1:26" ht="15" thickBot="1" x14ac:dyDescent="0.35">
      <c r="A39" s="65">
        <v>5</v>
      </c>
      <c r="B39" s="10">
        <v>1.01475217764049E-2</v>
      </c>
      <c r="C39" s="11">
        <v>3.9196032697089302E-2</v>
      </c>
      <c r="D39" s="11">
        <v>1.80121453218463E-2</v>
      </c>
      <c r="E39" s="11">
        <v>3.2964558147885299E-2</v>
      </c>
      <c r="F39" s="11">
        <v>0.20824782128307301</v>
      </c>
      <c r="G39" s="11">
        <v>0</v>
      </c>
      <c r="H39" s="11">
        <v>1.3723381839687699E-2</v>
      </c>
      <c r="I39" s="11">
        <v>8.07734178908108E-3</v>
      </c>
      <c r="J39" s="11">
        <v>7.8244868195230896E-2</v>
      </c>
      <c r="K39" s="11">
        <v>2.3383465843341202E-2</v>
      </c>
      <c r="L39" s="11">
        <v>0.103790955887217</v>
      </c>
      <c r="M39" s="11">
        <v>2.8739885738178199E-2</v>
      </c>
      <c r="N39" s="11">
        <v>4.0069082549776203E-2</v>
      </c>
      <c r="O39" s="11">
        <v>3.77958483200901E-2</v>
      </c>
      <c r="P39" s="11">
        <v>2.94677155712629E-2</v>
      </c>
      <c r="Q39" s="11">
        <v>5.6097606382478099E-2</v>
      </c>
      <c r="R39" s="11">
        <v>5.1733170223390003E-2</v>
      </c>
      <c r="S39" s="11">
        <v>2.4652455728991499E-2</v>
      </c>
      <c r="T39" s="11">
        <v>2.6187940076536801E-2</v>
      </c>
      <c r="U39" s="11">
        <v>3.6790206094792603E-2</v>
      </c>
      <c r="V39" s="11">
        <v>6.3422188079354297E-3</v>
      </c>
      <c r="W39" s="11">
        <v>1.16014832965618E-2</v>
      </c>
      <c r="X39" s="11">
        <v>1.2625299393220799E-2</v>
      </c>
      <c r="Y39" s="11">
        <v>4.9311057453861599E-2</v>
      </c>
      <c r="Z39" s="12">
        <v>2.8965603231233299E-2</v>
      </c>
    </row>
    <row r="40" spans="1:26" ht="15" thickBot="1" x14ac:dyDescent="0.35">
      <c r="A40" s="65">
        <v>6</v>
      </c>
      <c r="B40" s="10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2">
        <v>0</v>
      </c>
    </row>
    <row r="41" spans="1:26" ht="15" thickBot="1" x14ac:dyDescent="0.35">
      <c r="A41" s="65">
        <v>7</v>
      </c>
      <c r="B41" s="10">
        <v>0.16028201364348199</v>
      </c>
      <c r="C41" s="11">
        <v>0.140644419374166</v>
      </c>
      <c r="D41" s="11">
        <v>0.133159876791589</v>
      </c>
      <c r="E41" s="11">
        <v>0.20167080261919701</v>
      </c>
      <c r="F41" s="11">
        <v>0.15957594232281</v>
      </c>
      <c r="G41" s="11">
        <v>0</v>
      </c>
      <c r="H41" s="11">
        <v>0.26467017986959102</v>
      </c>
      <c r="I41" s="11">
        <v>0.10044933067508401</v>
      </c>
      <c r="J41" s="11">
        <v>0.15926042391827899</v>
      </c>
      <c r="K41" s="11">
        <v>0.230728190637638</v>
      </c>
      <c r="L41" s="11">
        <v>0.16022238810464001</v>
      </c>
      <c r="M41" s="11">
        <v>0.24301457608676899</v>
      </c>
      <c r="N41" s="11">
        <v>0.21416240297202499</v>
      </c>
      <c r="O41" s="11">
        <v>0.183788236880644</v>
      </c>
      <c r="P41" s="11">
        <v>0.19625113009974501</v>
      </c>
      <c r="Q41" s="11">
        <v>0.33320243306493302</v>
      </c>
      <c r="R41" s="11">
        <v>0.20513075044843501</v>
      </c>
      <c r="S41" s="11">
        <v>0.11613295566873</v>
      </c>
      <c r="T41" s="11">
        <v>0.24801022780197499</v>
      </c>
      <c r="U41" s="11">
        <v>0.223624391691672</v>
      </c>
      <c r="V41" s="11">
        <v>0.25064135522724201</v>
      </c>
      <c r="W41" s="11">
        <v>0.171990752192026</v>
      </c>
      <c r="X41" s="11">
        <v>0.21865320442542799</v>
      </c>
      <c r="Y41" s="11">
        <v>0.19583313106608799</v>
      </c>
      <c r="Z41" s="12">
        <v>0.27314692113524902</v>
      </c>
    </row>
    <row r="42" spans="1:26" ht="15" thickBot="1" x14ac:dyDescent="0.35">
      <c r="A42" s="65">
        <v>8</v>
      </c>
      <c r="B42" s="10">
        <v>1.20665402501972E-4</v>
      </c>
      <c r="C42" s="11">
        <v>3.89970267581099E-4</v>
      </c>
      <c r="D42" s="11">
        <v>1.5024882946155199E-2</v>
      </c>
      <c r="E42" s="11">
        <v>9.3582984736613299E-4</v>
      </c>
      <c r="F42" s="11">
        <v>2.71377689996667E-3</v>
      </c>
      <c r="G42" s="11">
        <v>0</v>
      </c>
      <c r="H42" s="11">
        <v>2.5572560842445599E-4</v>
      </c>
      <c r="I42" s="11">
        <v>2.7467514807638298E-2</v>
      </c>
      <c r="J42" s="11">
        <v>2.4871275540200102E-2</v>
      </c>
      <c r="K42" s="11">
        <v>1.35677787473531E-2</v>
      </c>
      <c r="L42" s="11">
        <v>2.2029266896525499E-4</v>
      </c>
      <c r="M42" s="11">
        <v>3.2435625601778999E-3</v>
      </c>
      <c r="N42" s="11">
        <v>5.2643000887705701E-4</v>
      </c>
      <c r="O42" s="11">
        <v>1.16495964150459E-3</v>
      </c>
      <c r="P42" s="11">
        <v>1.00457590099743E-3</v>
      </c>
      <c r="Q42" s="11">
        <v>1.5265805575712999E-3</v>
      </c>
      <c r="R42" s="11">
        <v>1.39870140444915E-3</v>
      </c>
      <c r="S42" s="11">
        <v>1.52062888807179E-2</v>
      </c>
      <c r="T42" s="11">
        <v>3.8355862322307999E-3</v>
      </c>
      <c r="U42" s="11">
        <v>1.8919152914122701E-3</v>
      </c>
      <c r="V42" s="11">
        <v>7.4102038255214097E-3</v>
      </c>
      <c r="W42" s="11">
        <v>3.98486775168565E-4</v>
      </c>
      <c r="X42" s="11">
        <v>1.2972169023967001E-4</v>
      </c>
      <c r="Y42" s="11">
        <v>8.0553879571171696E-4</v>
      </c>
      <c r="Z42" s="12">
        <v>9.7661399382555189E-4</v>
      </c>
    </row>
    <row r="43" spans="1:26" ht="15" thickBot="1" x14ac:dyDescent="0.35">
      <c r="A43" s="65">
        <v>9</v>
      </c>
      <c r="B43" s="10">
        <v>2.9542517471875598E-2</v>
      </c>
      <c r="C43" s="11">
        <v>5.8390700397720499E-2</v>
      </c>
      <c r="D43" s="11">
        <v>1.7043331891018601E-2</v>
      </c>
      <c r="E43" s="11">
        <v>2.2643414922966201E-2</v>
      </c>
      <c r="F43" s="11">
        <v>3.3583888739082197E-2</v>
      </c>
      <c r="G43" s="11">
        <v>0</v>
      </c>
      <c r="H43" s="11">
        <v>7.8740211621395398E-3</v>
      </c>
      <c r="I43" s="11">
        <v>2.4962355987093E-2</v>
      </c>
      <c r="J43" s="11">
        <v>0.28658766313544498</v>
      </c>
      <c r="K43" s="11">
        <v>0.16469841466502599</v>
      </c>
      <c r="L43" s="11">
        <v>3.8876422715385703E-2</v>
      </c>
      <c r="M43" s="11">
        <v>6.2472320034362297E-3</v>
      </c>
      <c r="N43" s="11">
        <v>2.7572583806540801E-3</v>
      </c>
      <c r="O43" s="11">
        <v>4.2028040485470701E-3</v>
      </c>
      <c r="P43" s="11">
        <v>5.3679115155426298E-3</v>
      </c>
      <c r="Q43" s="11">
        <v>8.5210321048727004E-3</v>
      </c>
      <c r="R43" s="11">
        <v>8.4214188067408095E-3</v>
      </c>
      <c r="S43" s="11">
        <v>1.7348901432181201E-3</v>
      </c>
      <c r="T43" s="11">
        <v>4.4240285646965699E-3</v>
      </c>
      <c r="U43" s="11">
        <v>3.7540117061461403E-2</v>
      </c>
      <c r="V43" s="11">
        <v>5.6921309836203303E-3</v>
      </c>
      <c r="W43" s="11">
        <v>3.4032556524914602E-3</v>
      </c>
      <c r="X43" s="11">
        <v>7.9044607078611995E-2</v>
      </c>
      <c r="Y43" s="11">
        <v>1.4169102128574E-2</v>
      </c>
      <c r="Z43" s="12">
        <v>8.1007425762811298E-3</v>
      </c>
    </row>
    <row r="44" spans="1:26" ht="28.8" customHeight="1" thickBot="1" x14ac:dyDescent="0.35">
      <c r="A44" s="65">
        <v>10</v>
      </c>
      <c r="B44" s="10">
        <v>6.4968331746511655E-5</v>
      </c>
      <c r="C44" s="11">
        <v>5.6168127232144953E-5</v>
      </c>
      <c r="D44" s="11">
        <v>1.1686353000658881E-4</v>
      </c>
      <c r="E44" s="11">
        <v>2.390921623877629E-4</v>
      </c>
      <c r="F44" s="11">
        <v>5.9965128346685059E-5</v>
      </c>
      <c r="G44" s="11">
        <v>0</v>
      </c>
      <c r="H44" s="11">
        <v>6.4812141570801701E-5</v>
      </c>
      <c r="I44" s="11">
        <v>5.0257796935326504E-5</v>
      </c>
      <c r="J44" s="11">
        <v>2.9612732250013866E-4</v>
      </c>
      <c r="K44" s="11">
        <v>1.9248267704526263E-4</v>
      </c>
      <c r="L44" s="11">
        <v>3.313293262942053E-5</v>
      </c>
      <c r="M44" s="11">
        <v>1.3480822124728191E-3</v>
      </c>
      <c r="N44" s="11">
        <v>1.2735559023642586E-3</v>
      </c>
      <c r="O44" s="11">
        <v>3.9208697355940837E-4</v>
      </c>
      <c r="P44" s="11">
        <v>1.5854003549319799E-3</v>
      </c>
      <c r="Q44" s="11">
        <v>7.906022825543417E-3</v>
      </c>
      <c r="R44" s="11">
        <v>1.4163063504488646E-3</v>
      </c>
      <c r="S44" s="11">
        <v>1.1846410554909156E-5</v>
      </c>
      <c r="T44" s="11">
        <v>6.8811509304373905E-5</v>
      </c>
      <c r="U44" s="11">
        <v>3.1993214435477768E-4</v>
      </c>
      <c r="V44" s="11">
        <v>3.569215876278522E-4</v>
      </c>
      <c r="W44" s="11">
        <v>6.2075381133510458E-5</v>
      </c>
      <c r="X44" s="11">
        <v>4.2732730454769245E-5</v>
      </c>
      <c r="Y44" s="11">
        <v>1.4961468621482624E-4</v>
      </c>
      <c r="Z44" s="12">
        <v>1.0537726180081595E-4</v>
      </c>
    </row>
    <row r="45" spans="1:26" ht="15" thickBot="1" x14ac:dyDescent="0.35">
      <c r="A45" s="65">
        <v>11</v>
      </c>
      <c r="B45" s="10">
        <v>1.4484177093716501E-2</v>
      </c>
      <c r="C45" s="11">
        <v>2.5603862569102302E-2</v>
      </c>
      <c r="D45" s="11">
        <v>2.7720864708768202E-2</v>
      </c>
      <c r="E45" s="11">
        <v>6.2984282932331201E-2</v>
      </c>
      <c r="F45" s="11">
        <v>0.121995476180876</v>
      </c>
      <c r="G45" s="11">
        <v>0</v>
      </c>
      <c r="H45" s="11">
        <v>2.2884664348122599E-2</v>
      </c>
      <c r="I45" s="11">
        <v>1.6353183690639199E-2</v>
      </c>
      <c r="J45" s="11">
        <v>4.3304041925318199E-2</v>
      </c>
      <c r="K45" s="11">
        <v>4.2805069711458803E-2</v>
      </c>
      <c r="L45" s="11">
        <v>0.33491679370945199</v>
      </c>
      <c r="M45" s="11">
        <v>6.6553674485956102E-2</v>
      </c>
      <c r="N45" s="11">
        <v>2.8775742312845701E-2</v>
      </c>
      <c r="O45" s="11">
        <v>4.13700352637658E-2</v>
      </c>
      <c r="P45" s="11">
        <v>2.4184126210035201E-2</v>
      </c>
      <c r="Q45" s="11">
        <v>4.3423477728635099E-2</v>
      </c>
      <c r="R45" s="11">
        <v>2.1268709155750701E-2</v>
      </c>
      <c r="S45" s="11">
        <v>6.7082702050553396E-3</v>
      </c>
      <c r="T45" s="11">
        <v>1.38998602410568E-2</v>
      </c>
      <c r="U45" s="11">
        <v>2.1620419428628E-2</v>
      </c>
      <c r="V45" s="11">
        <v>3.64865184906734E-2</v>
      </c>
      <c r="W45" s="11">
        <v>1.7261211716239101E-2</v>
      </c>
      <c r="X45" s="11">
        <v>3.0634544876883101E-2</v>
      </c>
      <c r="Y45" s="11">
        <v>6.0127035812062302E-2</v>
      </c>
      <c r="Z45" s="12">
        <v>4.8210825376972098E-2</v>
      </c>
    </row>
    <row r="46" spans="1:26" ht="15" thickBot="1" x14ac:dyDescent="0.35">
      <c r="A46" s="65">
        <v>12</v>
      </c>
      <c r="B46" s="10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2">
        <v>0</v>
      </c>
    </row>
    <row r="47" spans="1:26" ht="15" thickBot="1" x14ac:dyDescent="0.35">
      <c r="A47" s="65">
        <v>13</v>
      </c>
      <c r="B47" s="10">
        <v>3.6696571169268153E-4</v>
      </c>
      <c r="C47" s="11">
        <v>4.8642389484895523E-4</v>
      </c>
      <c r="D47" s="11">
        <v>3.0021603746912791E-4</v>
      </c>
      <c r="E47" s="11">
        <v>5.5730983790495459E-4</v>
      </c>
      <c r="F47" s="11">
        <v>4.7738738216998312E-4</v>
      </c>
      <c r="G47" s="11">
        <v>0</v>
      </c>
      <c r="H47" s="11">
        <v>3.8801385610815446E-4</v>
      </c>
      <c r="I47" s="11">
        <v>3.7519660920142374E-4</v>
      </c>
      <c r="J47" s="11">
        <v>7.3194140138428654E-4</v>
      </c>
      <c r="K47" s="11">
        <v>8.500574103266934E-4</v>
      </c>
      <c r="L47" s="11">
        <v>3.717143382915625E-4</v>
      </c>
      <c r="M47" s="11">
        <v>3.5434027844818811E-3</v>
      </c>
      <c r="N47" s="11">
        <v>6.7928863612339513E-3</v>
      </c>
      <c r="O47" s="11">
        <v>3.851773090278774E-5</v>
      </c>
      <c r="P47" s="11">
        <v>7.0111862860957252E-5</v>
      </c>
      <c r="Q47" s="11">
        <v>6.6328520490896783E-3</v>
      </c>
      <c r="R47" s="11">
        <v>4.2816822720829025E-4</v>
      </c>
      <c r="S47" s="11">
        <v>6.8120025825304845E-5</v>
      </c>
      <c r="T47" s="11">
        <v>9.1974529368291549E-5</v>
      </c>
      <c r="U47" s="11">
        <v>6.7408584240252636E-4</v>
      </c>
      <c r="V47" s="11">
        <v>2.374807947004653E-4</v>
      </c>
      <c r="W47" s="11">
        <v>4.5294245703659364E-4</v>
      </c>
      <c r="X47" s="11">
        <v>3.0166431587436989E-4</v>
      </c>
      <c r="Y47" s="11">
        <v>8.0542141119244518E-4</v>
      </c>
      <c r="Z47" s="12">
        <v>4.1394801852660953E-4</v>
      </c>
    </row>
    <row r="48" spans="1:26" ht="28.8" customHeight="1" thickBot="1" x14ac:dyDescent="0.35">
      <c r="A48" s="65">
        <v>14</v>
      </c>
      <c r="B48" s="10">
        <v>2.3918451099174628E-3</v>
      </c>
      <c r="C48" s="11">
        <v>2.844437476022098E-3</v>
      </c>
      <c r="D48" s="11">
        <v>3.2604046474851694E-3</v>
      </c>
      <c r="E48" s="11">
        <v>1.1268862483455884E-2</v>
      </c>
      <c r="F48" s="11">
        <v>2.1653467549359023E-3</v>
      </c>
      <c r="G48" s="11">
        <v>0</v>
      </c>
      <c r="H48" s="11">
        <v>1.9071850951974578E-3</v>
      </c>
      <c r="I48" s="11">
        <v>3.0527590879217679E-3</v>
      </c>
      <c r="J48" s="11">
        <v>2.8486748320143665E-3</v>
      </c>
      <c r="K48" s="11">
        <v>5.1947964909021078E-3</v>
      </c>
      <c r="L48" s="11">
        <v>2.2439053528054359E-3</v>
      </c>
      <c r="M48" s="11">
        <v>2.637573910455362E-3</v>
      </c>
      <c r="N48" s="11">
        <v>4.2325752480662756E-3</v>
      </c>
      <c r="O48" s="11">
        <v>2.9154015861765744E-4</v>
      </c>
      <c r="P48" s="11">
        <v>3.6528154093082077E-4</v>
      </c>
      <c r="Q48" s="11">
        <v>4.3581381308920395E-3</v>
      </c>
      <c r="R48" s="11">
        <v>1.9166808225140643E-3</v>
      </c>
      <c r="S48" s="11">
        <v>1.9109061636063523E-4</v>
      </c>
      <c r="T48" s="11">
        <v>1.6290355011986204E-3</v>
      </c>
      <c r="U48" s="11">
        <v>9.9866333611287029E-4</v>
      </c>
      <c r="V48" s="11">
        <v>9.8659581440141094E-4</v>
      </c>
      <c r="W48" s="11">
        <v>1.4668904821446009E-3</v>
      </c>
      <c r="X48" s="11">
        <v>1.1654164756963092E-3</v>
      </c>
      <c r="Y48" s="11">
        <v>3.2334035772767448E-3</v>
      </c>
      <c r="Z48" s="12">
        <v>1.589924467467771E-3</v>
      </c>
    </row>
    <row r="49" spans="1:26" ht="15" thickBot="1" x14ac:dyDescent="0.35">
      <c r="A49" s="65">
        <v>15</v>
      </c>
      <c r="B49" s="10">
        <v>5.256682069993664E-4</v>
      </c>
      <c r="C49" s="11">
        <v>5.3246600018034358E-4</v>
      </c>
      <c r="D49" s="11">
        <v>5.0974434180446363E-3</v>
      </c>
      <c r="E49" s="11">
        <v>2.1150818821329596E-3</v>
      </c>
      <c r="F49" s="11">
        <v>8.9793800956100328E-4</v>
      </c>
      <c r="G49" s="11">
        <v>0</v>
      </c>
      <c r="H49" s="11">
        <v>5.5733511266107259E-4</v>
      </c>
      <c r="I49" s="11">
        <v>8.5791586833203932E-3</v>
      </c>
      <c r="J49" s="11">
        <v>1.0288802342293386E-3</v>
      </c>
      <c r="K49" s="11">
        <v>2.0931231493183616E-3</v>
      </c>
      <c r="L49" s="11">
        <v>6.3975421040284334E-4</v>
      </c>
      <c r="M49" s="11">
        <v>4.6510489795797078E-3</v>
      </c>
      <c r="N49" s="11">
        <v>1.2400683744094004E-3</v>
      </c>
      <c r="O49" s="11">
        <v>5.0223839027855731E-4</v>
      </c>
      <c r="P49" s="11">
        <v>1.1767390835986989E-3</v>
      </c>
      <c r="Q49" s="11">
        <v>1.2564145122590214E-3</v>
      </c>
      <c r="R49" s="11">
        <v>1.4209011864269908E-3</v>
      </c>
      <c r="S49" s="11">
        <v>1.084782682643973E-4</v>
      </c>
      <c r="T49" s="11">
        <v>2.5058204055999005E-4</v>
      </c>
      <c r="U49" s="11">
        <v>2.586234899673791E-4</v>
      </c>
      <c r="V49" s="11">
        <v>1.6773752706970284E-3</v>
      </c>
      <c r="W49" s="11">
        <v>3.4767540814118148E-4</v>
      </c>
      <c r="X49" s="11">
        <v>2.6752788594940953E-4</v>
      </c>
      <c r="Y49" s="11">
        <v>5.9435253047731488E-4</v>
      </c>
      <c r="Z49" s="12">
        <v>5.7419225226362075E-4</v>
      </c>
    </row>
    <row r="50" spans="1:26" ht="15" thickBot="1" x14ac:dyDescent="0.35">
      <c r="A50" s="65">
        <v>16</v>
      </c>
      <c r="B50" s="10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2">
        <v>0</v>
      </c>
    </row>
    <row r="51" spans="1:26" ht="15" thickBot="1" x14ac:dyDescent="0.35">
      <c r="A51" s="65">
        <v>17</v>
      </c>
      <c r="B51" s="10">
        <v>1.0890898993295922E-4</v>
      </c>
      <c r="C51" s="11">
        <v>1.1393744942783165E-4</v>
      </c>
      <c r="D51" s="11">
        <v>1.0806200616909466E-3</v>
      </c>
      <c r="E51" s="11">
        <v>4.4521179596091788E-4</v>
      </c>
      <c r="F51" s="11">
        <v>1.8679420943824683E-4</v>
      </c>
      <c r="G51" s="11">
        <v>0</v>
      </c>
      <c r="H51" s="11">
        <v>1.1370972775487835E-4</v>
      </c>
      <c r="I51" s="11">
        <v>1.8202190254814836E-3</v>
      </c>
      <c r="J51" s="11">
        <v>2.5387078090240682E-4</v>
      </c>
      <c r="K51" s="11">
        <v>4.5324444629152994E-4</v>
      </c>
      <c r="L51" s="11">
        <v>1.3642150065317944E-4</v>
      </c>
      <c r="M51" s="11">
        <v>9.9102211553411834E-4</v>
      </c>
      <c r="N51" s="11">
        <v>2.8122756181546155E-4</v>
      </c>
      <c r="O51" s="11">
        <v>1.0881059158498408E-4</v>
      </c>
      <c r="P51" s="11">
        <v>2.5019154658137644E-4</v>
      </c>
      <c r="Q51" s="11">
        <v>2.8684121758072701E-4</v>
      </c>
      <c r="R51" s="11">
        <v>3.1101863646506466E-4</v>
      </c>
      <c r="S51" s="11">
        <v>2.685732176802982E-5</v>
      </c>
      <c r="T51" s="11">
        <v>5.3149164148698278E-5</v>
      </c>
      <c r="U51" s="11">
        <v>5.9333421392503576E-5</v>
      </c>
      <c r="V51" s="11">
        <v>3.5696068827952606E-4</v>
      </c>
      <c r="W51" s="11">
        <v>8.9436620060867603E-5</v>
      </c>
      <c r="X51" s="11">
        <v>6.0203271920889966E-5</v>
      </c>
      <c r="Y51" s="11">
        <v>1.3682974628030187E-4</v>
      </c>
      <c r="Z51" s="12">
        <v>1.4405505940610203E-4</v>
      </c>
    </row>
    <row r="52" spans="1:26" ht="28.8" customHeight="1" thickBot="1" x14ac:dyDescent="0.35">
      <c r="A52" s="65">
        <v>18</v>
      </c>
      <c r="B52" s="10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2">
        <v>0</v>
      </c>
    </row>
    <row r="53" spans="1:26" ht="15" thickBot="1" x14ac:dyDescent="0.35">
      <c r="A53" s="65">
        <v>19</v>
      </c>
      <c r="B53" s="10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2">
        <v>0</v>
      </c>
    </row>
    <row r="54" spans="1:26" ht="28.8" customHeight="1" thickBot="1" x14ac:dyDescent="0.35">
      <c r="A54" s="65">
        <v>20</v>
      </c>
      <c r="B54" s="10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2">
        <v>0</v>
      </c>
    </row>
    <row r="55" spans="1:26" ht="15" thickBot="1" x14ac:dyDescent="0.35">
      <c r="A55" s="65">
        <v>21</v>
      </c>
      <c r="B55" s="10">
        <v>2.22091646926935E-2</v>
      </c>
      <c r="C55" s="11">
        <v>1.9141422326554299E-2</v>
      </c>
      <c r="D55" s="11">
        <v>2.0247649677415901E-2</v>
      </c>
      <c r="E55" s="11">
        <v>4.6872132726848002E-2</v>
      </c>
      <c r="F55" s="11">
        <v>2.9922517160498499E-2</v>
      </c>
      <c r="G55" s="11">
        <v>0</v>
      </c>
      <c r="H55" s="11">
        <v>2.03378861984044E-2</v>
      </c>
      <c r="I55" s="11">
        <v>1.42286015326123E-2</v>
      </c>
      <c r="J55" s="11">
        <v>1.52895197882425E-2</v>
      </c>
      <c r="K55" s="11">
        <v>3.1988800569947601E-2</v>
      </c>
      <c r="L55" s="11">
        <v>1.6782679150205801E-2</v>
      </c>
      <c r="M55" s="11">
        <v>2.8496385389400199E-2</v>
      </c>
      <c r="N55" s="11">
        <v>1.21743853468408E-2</v>
      </c>
      <c r="O55" s="11">
        <v>1.1860851130276E-2</v>
      </c>
      <c r="P55" s="11">
        <v>2.4799956058600098E-2</v>
      </c>
      <c r="Q55" s="11">
        <v>3.9300428998772403E-2</v>
      </c>
      <c r="R55" s="11">
        <v>2.5392930060305099E-2</v>
      </c>
      <c r="S55" s="11">
        <v>3.6822023518479997E-2</v>
      </c>
      <c r="T55" s="11">
        <v>4.6184851090420302E-2</v>
      </c>
      <c r="U55" s="11">
        <v>5.5577535786091203E-2</v>
      </c>
      <c r="V55" s="11">
        <v>7.6365619622057304E-2</v>
      </c>
      <c r="W55" s="11">
        <v>1.8150182660851E-2</v>
      </c>
      <c r="X55" s="11">
        <v>1.2231703456507001E-2</v>
      </c>
      <c r="Y55" s="11">
        <v>3.0095372305840001E-2</v>
      </c>
      <c r="Z55" s="12">
        <v>3.9467346018847597E-2</v>
      </c>
    </row>
    <row r="56" spans="1:26" ht="15" thickBot="1" x14ac:dyDescent="0.35">
      <c r="A56" s="65">
        <v>22</v>
      </c>
      <c r="B56" s="10">
        <v>2.6363103310189E-4</v>
      </c>
      <c r="C56" s="11">
        <v>2.4065256568668101E-4</v>
      </c>
      <c r="D56" s="11">
        <v>2.4599557233919399E-4</v>
      </c>
      <c r="E56" s="11">
        <v>3.6961142917617002E-4</v>
      </c>
      <c r="F56" s="11">
        <v>2.6220324911981698E-4</v>
      </c>
      <c r="G56" s="11">
        <v>0</v>
      </c>
      <c r="H56" s="11">
        <v>1.84981306083288E-3</v>
      </c>
      <c r="I56" s="11">
        <v>1.9724403029211301E-4</v>
      </c>
      <c r="J56" s="11">
        <v>3.5476681661118699E-4</v>
      </c>
      <c r="K56" s="11">
        <v>6.9350940220937901E-4</v>
      </c>
      <c r="L56" s="11">
        <v>3.4382595911888302E-4</v>
      </c>
      <c r="M56" s="11">
        <v>6.66443755289816E-4</v>
      </c>
      <c r="N56" s="11">
        <v>1.28460364146273E-3</v>
      </c>
      <c r="O56" s="11">
        <v>5.5933385255008399E-4</v>
      </c>
      <c r="P56" s="11">
        <v>1.4619036268246799E-3</v>
      </c>
      <c r="Q56" s="11">
        <v>1.0173245740296101E-3</v>
      </c>
      <c r="R56" s="11">
        <v>8.2127116296431104E-4</v>
      </c>
      <c r="S56" s="11">
        <v>1.940454955051E-3</v>
      </c>
      <c r="T56" s="11">
        <v>2.6109426775632402E-4</v>
      </c>
      <c r="U56" s="11">
        <v>1.90919636417208E-3</v>
      </c>
      <c r="V56" s="11">
        <v>6.6912662550045496E-4</v>
      </c>
      <c r="W56" s="11">
        <v>1.1921982684464399E-2</v>
      </c>
      <c r="X56" s="11">
        <v>1.4135707015807001E-3</v>
      </c>
      <c r="Y56" s="11">
        <v>1.96209790268004E-3</v>
      </c>
      <c r="Z56" s="12">
        <v>1.57616838691568E-3</v>
      </c>
    </row>
    <row r="57" spans="1:26" ht="15" thickBot="1" x14ac:dyDescent="0.35">
      <c r="A57" s="65">
        <v>23</v>
      </c>
      <c r="B57" s="10">
        <v>2.7529415521472398E-4</v>
      </c>
      <c r="C57" s="11">
        <v>2.04415359774232E-4</v>
      </c>
      <c r="D57" s="11">
        <v>1.5879554792403499E-4</v>
      </c>
      <c r="E57" s="11">
        <v>4.4035335320892998E-4</v>
      </c>
      <c r="F57" s="11">
        <v>4.0263152232367002E-4</v>
      </c>
      <c r="G57" s="11">
        <v>0</v>
      </c>
      <c r="H57" s="11">
        <v>2.0731388649350901E-3</v>
      </c>
      <c r="I57" s="11">
        <v>2.0242080825696399E-4</v>
      </c>
      <c r="J57" s="11">
        <v>2.99370094272636E-4</v>
      </c>
      <c r="K57" s="11">
        <v>8.09253413078774E-4</v>
      </c>
      <c r="L57" s="11">
        <v>6.9676251086159995E-4</v>
      </c>
      <c r="M57" s="11">
        <v>5.3793287204814905E-4</v>
      </c>
      <c r="N57" s="11">
        <v>3.3677362055066501E-4</v>
      </c>
      <c r="O57" s="11">
        <v>8.8424532245259097E-4</v>
      </c>
      <c r="P57" s="11">
        <v>4.3302384103292499E-4</v>
      </c>
      <c r="Q57" s="11">
        <v>3.28729824259229E-4</v>
      </c>
      <c r="R57" s="11">
        <v>3.6633293743371001E-4</v>
      </c>
      <c r="S57" s="11">
        <v>4.7077392619808298E-4</v>
      </c>
      <c r="T57" s="11">
        <v>3.4873697412372303E-4</v>
      </c>
      <c r="U57" s="11">
        <v>3.0925258397174302E-4</v>
      </c>
      <c r="V57" s="11">
        <v>2.0499641697104099E-4</v>
      </c>
      <c r="W57" s="11">
        <v>1.25664417123887E-3</v>
      </c>
      <c r="X57" s="11">
        <v>2.1711104597175901E-2</v>
      </c>
      <c r="Y57" s="11">
        <v>3.44567312978768E-3</v>
      </c>
      <c r="Z57" s="12">
        <v>2.5682704112420401E-3</v>
      </c>
    </row>
    <row r="58" spans="1:26" ht="15" thickBot="1" x14ac:dyDescent="0.35">
      <c r="A58" s="65">
        <v>24</v>
      </c>
      <c r="B58" s="10">
        <v>1.02081087847596E-2</v>
      </c>
      <c r="C58" s="11">
        <v>4.2158240414676001E-3</v>
      </c>
      <c r="D58" s="11">
        <v>5.4739623713019698E-3</v>
      </c>
      <c r="E58" s="11">
        <v>3.2015688407412602E-3</v>
      </c>
      <c r="F58" s="11">
        <v>2.8375218547417899E-3</v>
      </c>
      <c r="G58" s="11">
        <v>0</v>
      </c>
      <c r="H58" s="11">
        <v>3.7740150915993799E-3</v>
      </c>
      <c r="I58" s="11">
        <v>1.2526283276512E-3</v>
      </c>
      <c r="J58" s="11">
        <v>3.4312712389129901E-3</v>
      </c>
      <c r="K58" s="11">
        <v>2.37938816742781E-3</v>
      </c>
      <c r="L58" s="11">
        <v>1.4069762012374201E-3</v>
      </c>
      <c r="M58" s="11">
        <v>1.49995270565634E-2</v>
      </c>
      <c r="N58" s="11">
        <v>1.5951830419587001E-2</v>
      </c>
      <c r="O58" s="11">
        <v>2.9010208385224601E-2</v>
      </c>
      <c r="P58" s="11">
        <v>3.74767379819606E-3</v>
      </c>
      <c r="Q58" s="11">
        <v>1.7567815282623502E-2</v>
      </c>
      <c r="R58" s="11">
        <v>3.4811933522660402E-3</v>
      </c>
      <c r="S58" s="11">
        <v>6.5371255212567795E-4</v>
      </c>
      <c r="T58" s="11">
        <v>8.8033648607272895E-4</v>
      </c>
      <c r="U58" s="11">
        <v>2.3194502879786902E-3</v>
      </c>
      <c r="V58" s="11">
        <v>3.8051803508505101E-3</v>
      </c>
      <c r="W58" s="11">
        <v>3.7731039005323001E-3</v>
      </c>
      <c r="X58" s="11">
        <v>3.9170567389686496E-3</v>
      </c>
      <c r="Y58" s="11">
        <v>4.6316261225656297E-2</v>
      </c>
      <c r="Z58" s="12">
        <v>7.2473286377713206E-2</v>
      </c>
    </row>
    <row r="59" spans="1:26" ht="15" thickBot="1" x14ac:dyDescent="0.35">
      <c r="A59" s="65">
        <v>25</v>
      </c>
      <c r="B59" s="14">
        <v>3.64320599992857E-4</v>
      </c>
      <c r="C59" s="15">
        <v>2.3575402106929601E-4</v>
      </c>
      <c r="D59" s="15">
        <v>4.97619397954724E-4</v>
      </c>
      <c r="E59" s="15">
        <v>3.1909637873511098E-4</v>
      </c>
      <c r="F59" s="15">
        <v>4.65807631627812E-4</v>
      </c>
      <c r="G59" s="15">
        <v>0</v>
      </c>
      <c r="H59" s="15">
        <v>5.62812447588724E-4</v>
      </c>
      <c r="I59" s="15">
        <v>3.58582726728274E-4</v>
      </c>
      <c r="J59" s="15">
        <v>7.5142131333864903E-4</v>
      </c>
      <c r="K59" s="15">
        <v>6.4544944623498503E-4</v>
      </c>
      <c r="L59" s="15">
        <v>1.76107114657633E-4</v>
      </c>
      <c r="M59" s="15">
        <v>2.1567165035020499E-4</v>
      </c>
      <c r="N59" s="15">
        <v>4.7267970452912497E-4</v>
      </c>
      <c r="O59" s="15">
        <v>6.0856102487955E-4</v>
      </c>
      <c r="P59" s="15">
        <v>2.8157830766378301E-4</v>
      </c>
      <c r="Q59" s="15">
        <v>4.4962768271646402E-3</v>
      </c>
      <c r="R59" s="15">
        <v>5.6958205677985698E-4</v>
      </c>
      <c r="S59" s="15">
        <v>1.9477810408181199E-4</v>
      </c>
      <c r="T59" s="15">
        <v>1.4593615614314601E-4</v>
      </c>
      <c r="U59" s="15">
        <v>1.3636385273401699E-4</v>
      </c>
      <c r="V59" s="15">
        <v>3.6596595781180198E-4</v>
      </c>
      <c r="W59" s="15">
        <v>2.00533950700308E-4</v>
      </c>
      <c r="X59" s="15">
        <v>5.8566946999952197E-4</v>
      </c>
      <c r="Y59" s="15">
        <v>8.0550439330272401E-3</v>
      </c>
      <c r="Z59" s="16">
        <v>2.90726182216101E-2</v>
      </c>
    </row>
    <row r="61" spans="1:26" x14ac:dyDescent="0.3">
      <c r="A61" s="1" t="s">
        <v>1</v>
      </c>
    </row>
    <row r="62" spans="1:26" ht="15" thickBot="1" x14ac:dyDescent="0.35">
      <c r="A62" s="99" t="s">
        <v>170</v>
      </c>
    </row>
    <row r="63" spans="1:26" ht="15" thickBot="1" x14ac:dyDescent="0.35">
      <c r="C63" s="4" t="s">
        <v>3</v>
      </c>
      <c r="D63" s="4" t="s">
        <v>4</v>
      </c>
      <c r="E63" s="3" t="s">
        <v>5</v>
      </c>
      <c r="F63" s="5" t="s">
        <v>6</v>
      </c>
    </row>
    <row r="64" spans="1:26" x14ac:dyDescent="0.3">
      <c r="A64" s="157" t="s">
        <v>7</v>
      </c>
      <c r="B64" s="17" t="s">
        <v>8</v>
      </c>
      <c r="C64" s="162" t="s">
        <v>14</v>
      </c>
      <c r="D64" s="21">
        <v>1.7262041564032105E-2</v>
      </c>
      <c r="E64" s="21">
        <v>1.7262041564032105E-2</v>
      </c>
      <c r="F64" s="21">
        <v>1.7262041564032105E-2</v>
      </c>
    </row>
    <row r="65" spans="1:16" x14ac:dyDescent="0.3">
      <c r="A65" s="161"/>
      <c r="B65" s="9" t="s">
        <v>10</v>
      </c>
      <c r="C65" s="163"/>
      <c r="D65" s="21">
        <v>2.7289334282015298E-2</v>
      </c>
      <c r="E65" s="21">
        <v>3.2064252757035838E-2</v>
      </c>
      <c r="F65" s="21">
        <v>3.4834708660740787E-2</v>
      </c>
    </row>
    <row r="66" spans="1:16" ht="15" thickBot="1" x14ac:dyDescent="0.35">
      <c r="A66" s="158"/>
      <c r="B66" s="13" t="s">
        <v>9</v>
      </c>
      <c r="C66" s="164"/>
      <c r="D66" s="21">
        <v>2.7551999142902961E-2</v>
      </c>
      <c r="E66" s="21">
        <v>3.1235655732438916E-2</v>
      </c>
      <c r="F66" s="21">
        <v>3.0423937949013657E-2</v>
      </c>
    </row>
    <row r="68" spans="1:16" x14ac:dyDescent="0.3">
      <c r="A68" s="1" t="s">
        <v>1</v>
      </c>
    </row>
    <row r="69" spans="1:16" ht="15" thickBot="1" x14ac:dyDescent="0.35">
      <c r="A69" s="99" t="s">
        <v>175</v>
      </c>
    </row>
    <row r="70" spans="1:16" ht="15" thickBot="1" x14ac:dyDescent="0.35">
      <c r="C70" s="4" t="s">
        <v>3</v>
      </c>
      <c r="D70" s="4" t="s">
        <v>4</v>
      </c>
      <c r="E70" s="3" t="s">
        <v>5</v>
      </c>
      <c r="F70" s="5" t="s">
        <v>6</v>
      </c>
    </row>
    <row r="71" spans="1:16" x14ac:dyDescent="0.3">
      <c r="A71" s="157" t="s">
        <v>7</v>
      </c>
      <c r="B71" s="17" t="s">
        <v>8</v>
      </c>
      <c r="C71" s="162" t="s">
        <v>14</v>
      </c>
      <c r="D71" s="21">
        <v>-3.5634141767137306E-2</v>
      </c>
      <c r="E71" s="21">
        <v>-1.8608797485448303E-2</v>
      </c>
      <c r="F71" s="21">
        <v>-1.9189597910737044E-3</v>
      </c>
    </row>
    <row r="72" spans="1:16" x14ac:dyDescent="0.3">
      <c r="A72" s="161"/>
      <c r="B72" s="9" t="s">
        <v>10</v>
      </c>
      <c r="C72" s="163"/>
      <c r="D72" s="21">
        <v>0</v>
      </c>
      <c r="E72" s="21">
        <v>2.7020533109377354E-2</v>
      </c>
      <c r="F72" s="21">
        <v>5.0032828074843883E-2</v>
      </c>
    </row>
    <row r="73" spans="1:16" ht="15" thickBot="1" x14ac:dyDescent="0.35">
      <c r="A73" s="158"/>
      <c r="B73" s="13" t="s">
        <v>9</v>
      </c>
      <c r="C73" s="164"/>
      <c r="D73" s="21">
        <v>1.7563559373352078E-2</v>
      </c>
      <c r="E73" s="21">
        <v>4.2874861431599465E-2</v>
      </c>
      <c r="F73" s="21">
        <v>5.8961625200659951E-2</v>
      </c>
    </row>
    <row r="75" spans="1:16" x14ac:dyDescent="0.3">
      <c r="A75" s="1" t="s">
        <v>31</v>
      </c>
      <c r="B75" s="25"/>
    </row>
    <row r="76" spans="1:16" ht="15" thickBot="1" x14ac:dyDescent="0.35">
      <c r="A76" s="99" t="s">
        <v>152</v>
      </c>
      <c r="B76" s="25"/>
    </row>
    <row r="77" spans="1:16" s="39" customFormat="1" ht="43.8" thickBot="1" x14ac:dyDescent="0.35">
      <c r="B77" s="81" t="s">
        <v>2</v>
      </c>
      <c r="C77" s="83" t="s">
        <v>3</v>
      </c>
      <c r="D77" s="84" t="s">
        <v>18</v>
      </c>
      <c r="E77" s="85" t="s">
        <v>19</v>
      </c>
      <c r="F77" s="85" t="s">
        <v>20</v>
      </c>
      <c r="G77" s="85" t="s">
        <v>21</v>
      </c>
      <c r="H77" s="85" t="s">
        <v>22</v>
      </c>
      <c r="I77" s="85" t="s">
        <v>23</v>
      </c>
      <c r="J77" s="85" t="s">
        <v>24</v>
      </c>
      <c r="K77" s="85" t="s">
        <v>25</v>
      </c>
      <c r="L77" s="85" t="s">
        <v>26</v>
      </c>
      <c r="M77" s="85" t="s">
        <v>27</v>
      </c>
      <c r="N77" s="85" t="s">
        <v>28</v>
      </c>
      <c r="O77" s="85" t="s">
        <v>30</v>
      </c>
      <c r="P77" s="86" t="s">
        <v>29</v>
      </c>
    </row>
    <row r="78" spans="1:16" x14ac:dyDescent="0.3">
      <c r="A78" s="26" t="s">
        <v>13</v>
      </c>
      <c r="B78" s="165" t="s">
        <v>32</v>
      </c>
      <c r="C78" s="80" t="s">
        <v>14</v>
      </c>
      <c r="D78" s="27">
        <v>3</v>
      </c>
      <c r="E78" s="77">
        <v>3</v>
      </c>
      <c r="F78" s="77">
        <v>3</v>
      </c>
      <c r="G78" s="77">
        <v>3</v>
      </c>
      <c r="H78" s="77">
        <v>3</v>
      </c>
      <c r="I78" s="77">
        <v>3</v>
      </c>
      <c r="J78" s="77">
        <v>3</v>
      </c>
      <c r="K78" s="77">
        <v>3</v>
      </c>
      <c r="L78" s="77">
        <v>3</v>
      </c>
      <c r="M78" s="77">
        <v>3</v>
      </c>
      <c r="N78" s="77">
        <v>3</v>
      </c>
      <c r="O78" s="77">
        <v>3</v>
      </c>
      <c r="P78" s="28">
        <v>3</v>
      </c>
    </row>
    <row r="79" spans="1:16" x14ac:dyDescent="0.3">
      <c r="A79" s="29" t="s">
        <v>15</v>
      </c>
      <c r="B79" s="166"/>
      <c r="C79" s="30" t="s">
        <v>14</v>
      </c>
      <c r="D79" s="31">
        <v>10</v>
      </c>
      <c r="E79" s="32">
        <v>9</v>
      </c>
      <c r="F79" s="32">
        <v>9</v>
      </c>
      <c r="G79" s="32">
        <v>9</v>
      </c>
      <c r="H79" s="32">
        <v>9</v>
      </c>
      <c r="I79" s="32">
        <v>9</v>
      </c>
      <c r="J79" s="32">
        <v>9</v>
      </c>
      <c r="K79" s="32">
        <v>9</v>
      </c>
      <c r="L79" s="32">
        <v>9</v>
      </c>
      <c r="M79" s="32">
        <v>9</v>
      </c>
      <c r="N79" s="32">
        <v>9</v>
      </c>
      <c r="O79" s="32">
        <v>9</v>
      </c>
      <c r="P79" s="33">
        <v>9</v>
      </c>
    </row>
    <row r="80" spans="1:16" x14ac:dyDescent="0.3">
      <c r="A80" s="29" t="s">
        <v>16</v>
      </c>
      <c r="B80" s="166"/>
      <c r="C80" s="30" t="s">
        <v>14</v>
      </c>
      <c r="D80" s="31">
        <v>1</v>
      </c>
      <c r="E80" s="32">
        <v>1</v>
      </c>
      <c r="F80" s="32">
        <v>1</v>
      </c>
      <c r="G80" s="32">
        <v>1</v>
      </c>
      <c r="H80" s="32">
        <v>1</v>
      </c>
      <c r="I80" s="32">
        <v>1</v>
      </c>
      <c r="J80" s="32">
        <v>1</v>
      </c>
      <c r="K80" s="32">
        <v>1</v>
      </c>
      <c r="L80" s="32">
        <v>1</v>
      </c>
      <c r="M80" s="32">
        <v>1</v>
      </c>
      <c r="N80" s="32">
        <v>1</v>
      </c>
      <c r="O80" s="32">
        <v>1</v>
      </c>
      <c r="P80" s="33">
        <v>1</v>
      </c>
    </row>
    <row r="81" spans="1:27" ht="15" thickBot="1" x14ac:dyDescent="0.35">
      <c r="A81" s="34" t="s">
        <v>17</v>
      </c>
      <c r="B81" s="167"/>
      <c r="C81" s="35" t="s">
        <v>14</v>
      </c>
      <c r="D81" s="36">
        <v>0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7">
        <v>0</v>
      </c>
      <c r="K81" s="37">
        <v>0</v>
      </c>
      <c r="L81" s="37">
        <v>0</v>
      </c>
      <c r="M81" s="37">
        <v>0</v>
      </c>
      <c r="N81" s="37">
        <v>0</v>
      </c>
      <c r="O81" s="37">
        <v>0</v>
      </c>
      <c r="P81" s="38">
        <v>0</v>
      </c>
    </row>
    <row r="83" spans="1:27" x14ac:dyDescent="0.3">
      <c r="A83" s="66" t="s">
        <v>87</v>
      </c>
    </row>
    <row r="84" spans="1:27" ht="15" thickBot="1" x14ac:dyDescent="0.35">
      <c r="A84" s="99" t="s">
        <v>174</v>
      </c>
    </row>
    <row r="85" spans="1:27" ht="16.2" customHeight="1" thickBot="1" x14ac:dyDescent="0.35">
      <c r="A85" s="1"/>
      <c r="B85" s="87" t="s">
        <v>3</v>
      </c>
      <c r="C85" s="88">
        <v>1</v>
      </c>
      <c r="D85" s="88">
        <v>2</v>
      </c>
      <c r="E85" s="88">
        <v>3</v>
      </c>
      <c r="F85" s="88">
        <v>4</v>
      </c>
      <c r="G85" s="88">
        <v>5</v>
      </c>
      <c r="H85" s="88">
        <v>6</v>
      </c>
      <c r="I85" s="88">
        <v>7</v>
      </c>
      <c r="J85" s="88">
        <v>8</v>
      </c>
      <c r="K85" s="88">
        <v>9</v>
      </c>
      <c r="L85" s="88">
        <v>10</v>
      </c>
      <c r="M85" s="88">
        <v>11</v>
      </c>
      <c r="N85" s="88">
        <v>12</v>
      </c>
      <c r="O85" s="88">
        <v>13</v>
      </c>
      <c r="P85" s="88">
        <v>14</v>
      </c>
      <c r="Q85" s="88">
        <v>15</v>
      </c>
      <c r="R85" s="88">
        <v>16</v>
      </c>
      <c r="S85" s="88">
        <v>17</v>
      </c>
      <c r="T85" s="88">
        <v>18</v>
      </c>
      <c r="U85" s="88">
        <v>19</v>
      </c>
      <c r="V85" s="88">
        <v>20</v>
      </c>
      <c r="W85" s="88">
        <v>21</v>
      </c>
      <c r="X85" s="88">
        <v>22</v>
      </c>
      <c r="Y85" s="88">
        <v>23</v>
      </c>
      <c r="Z85" s="88">
        <v>24</v>
      </c>
      <c r="AA85" s="89">
        <v>25</v>
      </c>
    </row>
    <row r="86" spans="1:27" ht="15" thickBot="1" x14ac:dyDescent="0.35">
      <c r="A86" s="26" t="s">
        <v>88</v>
      </c>
      <c r="B86" s="176" t="s">
        <v>14</v>
      </c>
      <c r="C86" s="142">
        <v>4.3913478195541601E-3</v>
      </c>
      <c r="D86" s="142">
        <v>8.2449262864021597E-4</v>
      </c>
      <c r="E86" s="142">
        <v>4.2786951397824299E-4</v>
      </c>
      <c r="F86" s="142">
        <v>7.5192550970601697E-5</v>
      </c>
      <c r="G86" s="142">
        <v>1.13383716611738E-2</v>
      </c>
      <c r="H86" s="142">
        <v>0</v>
      </c>
      <c r="I86" s="142">
        <v>0.64169661403255995</v>
      </c>
      <c r="J86" s="142">
        <v>1.13005098462442E-8</v>
      </c>
      <c r="K86" s="142">
        <v>3.2411668701224899E-3</v>
      </c>
      <c r="L86" s="177">
        <v>5.1786869036828599E-6</v>
      </c>
      <c r="M86" s="176">
        <v>2.0381615556889299E-3</v>
      </c>
      <c r="N86" s="142">
        <v>1.0047109969432299E-4</v>
      </c>
      <c r="O86" s="142">
        <v>8.6937831895240897E-5</v>
      </c>
      <c r="P86" s="142">
        <v>4.55391095493794E-4</v>
      </c>
      <c r="Q86" s="142">
        <v>9.18712432061456E-5</v>
      </c>
      <c r="R86" s="142">
        <v>0</v>
      </c>
      <c r="S86" s="142">
        <v>1.7651671127294801E-5</v>
      </c>
      <c r="T86" s="142">
        <v>0</v>
      </c>
      <c r="U86" s="142">
        <v>0</v>
      </c>
      <c r="V86" s="142">
        <v>0</v>
      </c>
      <c r="W86" s="142">
        <v>8.5185749343680405E-3</v>
      </c>
      <c r="X86" s="142">
        <v>0.13581422036990201</v>
      </c>
      <c r="Y86" s="142">
        <v>0.18171270264092401</v>
      </c>
      <c r="Z86" s="142">
        <v>8.5823626760702793E-3</v>
      </c>
      <c r="AA86" s="177">
        <v>5.8140981721717801E-4</v>
      </c>
    </row>
    <row r="89" spans="1:27" x14ac:dyDescent="0.3">
      <c r="A89" s="66" t="s">
        <v>87</v>
      </c>
    </row>
    <row r="90" spans="1:27" ht="15" thickBot="1" x14ac:dyDescent="0.35">
      <c r="A90" s="99" t="s">
        <v>150</v>
      </c>
    </row>
    <row r="91" spans="1:27" ht="16.2" customHeight="1" thickBot="1" x14ac:dyDescent="0.35">
      <c r="A91" s="1"/>
      <c r="B91" s="87" t="s">
        <v>3</v>
      </c>
      <c r="C91" s="88">
        <v>1</v>
      </c>
      <c r="D91" s="88">
        <v>2</v>
      </c>
      <c r="E91" s="88">
        <v>3</v>
      </c>
      <c r="F91" s="88">
        <v>4</v>
      </c>
      <c r="G91" s="88">
        <v>5</v>
      </c>
      <c r="H91" s="88">
        <v>6</v>
      </c>
      <c r="I91" s="88">
        <v>7</v>
      </c>
      <c r="J91" s="88">
        <v>8</v>
      </c>
      <c r="K91" s="88">
        <v>9</v>
      </c>
      <c r="L91" s="88">
        <v>10</v>
      </c>
      <c r="M91" s="88">
        <v>11</v>
      </c>
      <c r="N91" s="88">
        <v>12</v>
      </c>
      <c r="O91" s="88">
        <v>13</v>
      </c>
      <c r="P91" s="88">
        <v>14</v>
      </c>
      <c r="Q91" s="88">
        <v>15</v>
      </c>
      <c r="R91" s="88">
        <v>16</v>
      </c>
      <c r="S91" s="88">
        <v>17</v>
      </c>
      <c r="T91" s="88">
        <v>18</v>
      </c>
      <c r="U91" s="88">
        <v>19</v>
      </c>
      <c r="V91" s="88">
        <v>20</v>
      </c>
      <c r="W91" s="88">
        <v>21</v>
      </c>
      <c r="X91" s="88">
        <v>22</v>
      </c>
      <c r="Y91" s="88">
        <v>23</v>
      </c>
      <c r="Z91" s="88">
        <v>24</v>
      </c>
      <c r="AA91" s="89">
        <v>25</v>
      </c>
    </row>
    <row r="92" spans="1:27" ht="15" thickBot="1" x14ac:dyDescent="0.35">
      <c r="A92" s="26" t="s">
        <v>88</v>
      </c>
      <c r="B92" s="176" t="s">
        <v>14</v>
      </c>
      <c r="C92" s="142">
        <v>4.3917508957253713E-3</v>
      </c>
      <c r="D92" s="142">
        <v>8.2456830775870212E-4</v>
      </c>
      <c r="E92" s="142">
        <v>4.2790878757089854E-4</v>
      </c>
      <c r="F92" s="142">
        <v>7.5199452798194186E-5</v>
      </c>
      <c r="G92" s="142">
        <v>1.1339412395732976E-2</v>
      </c>
      <c r="H92" s="142">
        <v>0</v>
      </c>
      <c r="I92" s="142">
        <v>0.64175551453985169</v>
      </c>
      <c r="J92" s="142">
        <v>1.1301547105516101E-8</v>
      </c>
      <c r="K92" s="142">
        <v>3.2414643726629347E-3</v>
      </c>
      <c r="L92" s="177">
        <v>5.1791622486964607E-6</v>
      </c>
      <c r="M92" s="176">
        <v>2.0383486359180445E-3</v>
      </c>
      <c r="N92" s="142">
        <v>0</v>
      </c>
      <c r="O92" s="142">
        <v>8.6945811807070706E-5</v>
      </c>
      <c r="P92" s="142">
        <v>4.5543289525703796E-4</v>
      </c>
      <c r="Q92" s="142">
        <v>9.9053660914194915E-5</v>
      </c>
      <c r="R92" s="142">
        <v>0</v>
      </c>
      <c r="S92" s="142">
        <v>1.9170913708891105E-5</v>
      </c>
      <c r="T92" s="142">
        <v>0</v>
      </c>
      <c r="U92" s="142">
        <v>0</v>
      </c>
      <c r="V92" s="142">
        <v>0</v>
      </c>
      <c r="W92" s="142">
        <v>8.5193568434105138E-3</v>
      </c>
      <c r="X92" s="142">
        <v>0.13582668658259792</v>
      </c>
      <c r="Y92" s="142">
        <v>0.18172938181630546</v>
      </c>
      <c r="Z92" s="142">
        <v>8.5831504401075714E-3</v>
      </c>
      <c r="AA92" s="177">
        <v>5.8146318407688974E-4</v>
      </c>
    </row>
    <row r="95" spans="1:27" x14ac:dyDescent="0.3">
      <c r="A95" s="66" t="s">
        <v>89</v>
      </c>
    </row>
    <row r="96" spans="1:27" ht="15" thickBot="1" x14ac:dyDescent="0.35">
      <c r="A96" s="99" t="s">
        <v>174</v>
      </c>
    </row>
    <row r="97" spans="1:29" ht="16.2" customHeight="1" thickBot="1" x14ac:dyDescent="0.35">
      <c r="A97" s="1"/>
      <c r="B97" s="91" t="s">
        <v>3</v>
      </c>
      <c r="C97" s="92">
        <v>1</v>
      </c>
      <c r="D97" s="92">
        <v>2</v>
      </c>
      <c r="E97" s="92">
        <v>3</v>
      </c>
      <c r="F97" s="92">
        <v>4</v>
      </c>
      <c r="G97" s="92">
        <v>5</v>
      </c>
      <c r="H97" s="92">
        <v>6</v>
      </c>
      <c r="I97" s="92">
        <v>7</v>
      </c>
      <c r="J97" s="92">
        <v>8</v>
      </c>
      <c r="K97" s="92">
        <v>9</v>
      </c>
      <c r="L97" s="92">
        <v>10</v>
      </c>
      <c r="M97" s="92">
        <v>11</v>
      </c>
      <c r="N97" s="92">
        <v>12</v>
      </c>
      <c r="O97" s="92">
        <v>13</v>
      </c>
      <c r="P97" s="92">
        <v>14</v>
      </c>
      <c r="Q97" s="92">
        <v>15</v>
      </c>
      <c r="R97" s="92">
        <v>16</v>
      </c>
      <c r="S97" s="92">
        <v>17</v>
      </c>
      <c r="T97" s="92">
        <v>18</v>
      </c>
      <c r="U97" s="92">
        <v>19</v>
      </c>
      <c r="V97" s="92">
        <v>20</v>
      </c>
      <c r="W97" s="92">
        <v>21</v>
      </c>
      <c r="X97" s="92">
        <v>22</v>
      </c>
      <c r="Y97" s="92">
        <v>23</v>
      </c>
      <c r="Z97" s="92">
        <v>24</v>
      </c>
      <c r="AA97" s="93">
        <v>25</v>
      </c>
    </row>
    <row r="98" spans="1:29" ht="15" thickBot="1" x14ac:dyDescent="0.35">
      <c r="A98" s="90" t="s">
        <v>90</v>
      </c>
      <c r="B98" s="94" t="s">
        <v>14</v>
      </c>
      <c r="C98" s="68">
        <v>1.3397962573674999E-2</v>
      </c>
      <c r="D98" s="68">
        <v>4.4699859932351904E-3</v>
      </c>
      <c r="E98" s="68">
        <v>1.0522537485092E-2</v>
      </c>
      <c r="F98" s="68">
        <v>2.9000125607426498E-3</v>
      </c>
      <c r="G98" s="68">
        <v>0.47517374466658702</v>
      </c>
      <c r="H98" s="68">
        <v>0</v>
      </c>
      <c r="I98" s="68">
        <v>0.164474023892798</v>
      </c>
      <c r="J98" s="68">
        <v>2.3965773410465101E-4</v>
      </c>
      <c r="K98" s="68">
        <v>3.8646097554059298E-3</v>
      </c>
      <c r="L98" s="68">
        <v>5.5709865477910101E-5</v>
      </c>
      <c r="M98" s="68">
        <v>0.31748954612360297</v>
      </c>
      <c r="N98" s="68">
        <v>6.6030980439080802E-7</v>
      </c>
      <c r="O98" s="68">
        <v>1.3376423190404299E-6</v>
      </c>
      <c r="P98" s="68">
        <v>2.6700477755252498E-6</v>
      </c>
      <c r="Q98" s="68">
        <v>2.51818701111295E-4</v>
      </c>
      <c r="R98" s="68">
        <v>0</v>
      </c>
      <c r="S98" s="68">
        <v>5.3449333654866102E-5</v>
      </c>
      <c r="T98" s="68">
        <v>0</v>
      </c>
      <c r="U98" s="68">
        <v>0</v>
      </c>
      <c r="V98" s="68">
        <v>0</v>
      </c>
      <c r="W98" s="68">
        <v>6.5933458845327904E-3</v>
      </c>
      <c r="X98" s="68">
        <v>1.79475860689775E-4</v>
      </c>
      <c r="Y98" s="68">
        <v>2.7786773508411001E-4</v>
      </c>
      <c r="Z98" s="68">
        <v>3.5545385849859001E-5</v>
      </c>
      <c r="AA98" s="67">
        <v>1.6038448458123001E-5</v>
      </c>
    </row>
    <row r="99" spans="1:29" x14ac:dyDescent="0.3">
      <c r="A99" s="66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 spans="1:29" x14ac:dyDescent="0.3">
      <c r="A100" s="66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 spans="1:29" x14ac:dyDescent="0.3">
      <c r="A101" s="66" t="s">
        <v>89</v>
      </c>
    </row>
    <row r="102" spans="1:29" ht="15" thickBot="1" x14ac:dyDescent="0.35">
      <c r="A102" s="99" t="s">
        <v>150</v>
      </c>
    </row>
    <row r="103" spans="1:29" ht="16.2" customHeight="1" thickBot="1" x14ac:dyDescent="0.35">
      <c r="A103" s="1"/>
      <c r="B103" s="91" t="s">
        <v>3</v>
      </c>
      <c r="C103" s="92">
        <v>1</v>
      </c>
      <c r="D103" s="92">
        <v>2</v>
      </c>
      <c r="E103" s="92">
        <v>3</v>
      </c>
      <c r="F103" s="92">
        <v>4</v>
      </c>
      <c r="G103" s="92">
        <v>5</v>
      </c>
      <c r="H103" s="92">
        <v>6</v>
      </c>
      <c r="I103" s="92">
        <v>7</v>
      </c>
      <c r="J103" s="92">
        <v>8</v>
      </c>
      <c r="K103" s="92">
        <v>9</v>
      </c>
      <c r="L103" s="92">
        <v>10</v>
      </c>
      <c r="M103" s="92">
        <v>11</v>
      </c>
      <c r="N103" s="92">
        <v>12</v>
      </c>
      <c r="O103" s="92">
        <v>13</v>
      </c>
      <c r="P103" s="92">
        <v>14</v>
      </c>
      <c r="Q103" s="92">
        <v>15</v>
      </c>
      <c r="R103" s="92">
        <v>16</v>
      </c>
      <c r="S103" s="92">
        <v>17</v>
      </c>
      <c r="T103" s="92">
        <v>18</v>
      </c>
      <c r="U103" s="92">
        <v>19</v>
      </c>
      <c r="V103" s="92">
        <v>20</v>
      </c>
      <c r="W103" s="92">
        <v>21</v>
      </c>
      <c r="X103" s="92">
        <v>22</v>
      </c>
      <c r="Y103" s="92">
        <v>23</v>
      </c>
      <c r="Z103" s="92">
        <v>24</v>
      </c>
      <c r="AA103" s="93">
        <v>25</v>
      </c>
    </row>
    <row r="104" spans="1:29" ht="15" thickBot="1" x14ac:dyDescent="0.35">
      <c r="A104" s="90" t="s">
        <v>90</v>
      </c>
      <c r="B104" s="94" t="s">
        <v>14</v>
      </c>
      <c r="C104" s="68">
        <v>1.3397970655231919E-2</v>
      </c>
      <c r="D104" s="68">
        <v>4.4699886894993563E-3</v>
      </c>
      <c r="E104" s="68">
        <v>1.052254383221274E-2</v>
      </c>
      <c r="F104" s="68">
        <v>2.900014310009873E-3</v>
      </c>
      <c r="G104" s="68">
        <v>0.47517403128805336</v>
      </c>
      <c r="H104" s="68">
        <v>0</v>
      </c>
      <c r="I104" s="68">
        <v>0.16447412310237425</v>
      </c>
      <c r="J104" s="68">
        <v>2.3965787866451384E-4</v>
      </c>
      <c r="K104" s="68">
        <v>3.8646120865114073E-3</v>
      </c>
      <c r="L104" s="68">
        <v>5.570989908170964E-5</v>
      </c>
      <c r="M104" s="68">
        <v>0.31748973763106775</v>
      </c>
      <c r="N104" s="68">
        <v>0</v>
      </c>
      <c r="O104" s="68">
        <v>1.3376431258968846E-6</v>
      </c>
      <c r="P104" s="68">
        <v>2.670049386079312E-6</v>
      </c>
      <c r="Q104" s="68">
        <v>2.5186599711778151E-4</v>
      </c>
      <c r="R104" s="68">
        <v>0</v>
      </c>
      <c r="S104" s="68">
        <v>5.3459339007359962E-5</v>
      </c>
      <c r="T104" s="68">
        <v>0</v>
      </c>
      <c r="U104" s="68">
        <v>0</v>
      </c>
      <c r="V104" s="68">
        <v>0</v>
      </c>
      <c r="W104" s="68">
        <v>6.593349861592733E-3</v>
      </c>
      <c r="X104" s="68">
        <v>1.7947596894835475E-4</v>
      </c>
      <c r="Y104" s="68">
        <v>2.7786790269197732E-4</v>
      </c>
      <c r="Z104" s="68">
        <v>3.5545407290586219E-5</v>
      </c>
      <c r="AA104" s="67">
        <v>1.6038458132402485E-5</v>
      </c>
    </row>
    <row r="105" spans="1:29" x14ac:dyDescent="0.3">
      <c r="A105" s="66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 spans="1:29" x14ac:dyDescent="0.3">
      <c r="A106" s="66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 spans="1:29" x14ac:dyDescent="0.3">
      <c r="A107" s="66" t="s">
        <v>91</v>
      </c>
    </row>
    <row r="108" spans="1:29" ht="15" thickBot="1" x14ac:dyDescent="0.35">
      <c r="A108" s="99" t="s">
        <v>174</v>
      </c>
    </row>
    <row r="109" spans="1:29" ht="16.2" customHeight="1" thickBot="1" x14ac:dyDescent="0.35">
      <c r="A109" s="1"/>
      <c r="C109" s="87" t="s">
        <v>2</v>
      </c>
      <c r="D109" s="88" t="s">
        <v>3</v>
      </c>
      <c r="E109" s="88">
        <v>1</v>
      </c>
      <c r="F109" s="88">
        <v>2</v>
      </c>
      <c r="G109" s="88">
        <v>3</v>
      </c>
      <c r="H109" s="88">
        <v>4</v>
      </c>
      <c r="I109" s="88">
        <v>5</v>
      </c>
      <c r="J109" s="88">
        <v>6</v>
      </c>
      <c r="K109" s="88">
        <v>7</v>
      </c>
      <c r="L109" s="88">
        <v>8</v>
      </c>
      <c r="M109" s="88">
        <v>9</v>
      </c>
      <c r="N109" s="88">
        <v>10</v>
      </c>
      <c r="O109" s="88">
        <v>11</v>
      </c>
      <c r="P109" s="88">
        <v>12</v>
      </c>
      <c r="Q109" s="88">
        <v>13</v>
      </c>
      <c r="R109" s="88">
        <v>14</v>
      </c>
      <c r="S109" s="88">
        <v>15</v>
      </c>
      <c r="T109" s="88">
        <v>16</v>
      </c>
      <c r="U109" s="88">
        <v>17</v>
      </c>
      <c r="V109" s="88">
        <v>18</v>
      </c>
      <c r="W109" s="88">
        <v>19</v>
      </c>
      <c r="X109" s="88">
        <v>20</v>
      </c>
      <c r="Y109" s="88">
        <v>21</v>
      </c>
      <c r="Z109" s="88">
        <v>22</v>
      </c>
      <c r="AA109" s="88">
        <v>23</v>
      </c>
      <c r="AB109" s="88">
        <v>24</v>
      </c>
      <c r="AC109" s="89">
        <v>25</v>
      </c>
    </row>
    <row r="110" spans="1:29" ht="29.4" customHeight="1" x14ac:dyDescent="0.3">
      <c r="A110" s="157" t="s">
        <v>83</v>
      </c>
      <c r="B110" s="59" t="s">
        <v>66</v>
      </c>
      <c r="C110" s="159" t="s">
        <v>67</v>
      </c>
      <c r="D110" s="155" t="s">
        <v>92</v>
      </c>
      <c r="E110" s="95">
        <v>0.18375972091428999</v>
      </c>
      <c r="F110" s="7">
        <v>6.6790934076895805E-2</v>
      </c>
      <c r="G110" s="7">
        <v>1.9490209332737801E-2</v>
      </c>
      <c r="H110" s="7">
        <v>7.9150235385712399E-5</v>
      </c>
      <c r="I110" s="7">
        <v>6.7360630324434E-3</v>
      </c>
      <c r="J110" s="7">
        <v>0</v>
      </c>
      <c r="K110" s="7">
        <v>0.42338234200019897</v>
      </c>
      <c r="L110" s="7">
        <v>1.0134552228436901E-4</v>
      </c>
      <c r="M110" s="7">
        <v>4.07520229232093E-2</v>
      </c>
      <c r="N110" s="7">
        <v>4.5120540785885102E-5</v>
      </c>
      <c r="O110" s="7">
        <v>0.106379747403473</v>
      </c>
      <c r="P110" s="7">
        <v>7.5121443642374799E-4</v>
      </c>
      <c r="Q110" s="7">
        <v>4.2886605162489601E-4</v>
      </c>
      <c r="R110" s="7">
        <v>3.60381219328761E-3</v>
      </c>
      <c r="S110" s="7">
        <v>1.03058799154392E-3</v>
      </c>
      <c r="T110" s="7">
        <v>0</v>
      </c>
      <c r="U110" s="7">
        <v>2.0014794856738099E-4</v>
      </c>
      <c r="V110" s="7">
        <v>0</v>
      </c>
      <c r="W110" s="7">
        <v>0</v>
      </c>
      <c r="X110" s="7">
        <v>0</v>
      </c>
      <c r="Y110" s="7">
        <v>4.33525835761095E-2</v>
      </c>
      <c r="Z110" s="7">
        <v>3.5607181833610897E-2</v>
      </c>
      <c r="AA110" s="7">
        <v>5.9050516192004597E-2</v>
      </c>
      <c r="AB110" s="7">
        <v>7.8787205201813204E-3</v>
      </c>
      <c r="AC110" s="8">
        <v>5.79713274942102E-4</v>
      </c>
    </row>
    <row r="111" spans="1:29" ht="29.4" customHeight="1" thickBot="1" x14ac:dyDescent="0.35">
      <c r="A111" s="158"/>
      <c r="B111" s="41" t="s">
        <v>7</v>
      </c>
      <c r="C111" s="159"/>
      <c r="D111" s="155"/>
      <c r="E111" s="70">
        <v>1355.8</v>
      </c>
      <c r="F111" s="71">
        <v>1355.8</v>
      </c>
      <c r="G111" s="71">
        <v>1355.8</v>
      </c>
      <c r="H111" s="71">
        <v>1355.8</v>
      </c>
      <c r="I111" s="71">
        <v>1355.8</v>
      </c>
      <c r="J111" s="71">
        <v>1355.8</v>
      </c>
      <c r="K111" s="71">
        <v>1355.8</v>
      </c>
      <c r="L111" s="71">
        <v>1355.8</v>
      </c>
      <c r="M111" s="71">
        <v>1355.8</v>
      </c>
      <c r="N111" s="71">
        <v>1355.8</v>
      </c>
      <c r="O111" s="71">
        <v>1355.8</v>
      </c>
      <c r="P111" s="71">
        <v>1355.8</v>
      </c>
      <c r="Q111" s="71">
        <v>1355.8</v>
      </c>
      <c r="R111" s="71">
        <v>1355.8</v>
      </c>
      <c r="S111" s="71">
        <v>1355.8</v>
      </c>
      <c r="T111" s="71">
        <v>1355.8</v>
      </c>
      <c r="U111" s="71">
        <v>1355.8</v>
      </c>
      <c r="V111" s="71">
        <v>1355.8</v>
      </c>
      <c r="W111" s="71">
        <v>1355.8</v>
      </c>
      <c r="X111" s="71">
        <v>1355.8</v>
      </c>
      <c r="Y111" s="71">
        <v>1355.8</v>
      </c>
      <c r="Z111" s="71">
        <v>1355.8</v>
      </c>
      <c r="AA111" s="71">
        <v>1355.8</v>
      </c>
      <c r="AB111" s="71">
        <v>1355.8</v>
      </c>
      <c r="AC111" s="72">
        <v>1355.8</v>
      </c>
    </row>
    <row r="112" spans="1:29" ht="29.4" customHeight="1" x14ac:dyDescent="0.3">
      <c r="A112" s="157" t="s">
        <v>84</v>
      </c>
      <c r="B112" s="59" t="s">
        <v>66</v>
      </c>
      <c r="C112" s="159"/>
      <c r="D112" s="155"/>
      <c r="E112" s="18">
        <v>0.10959999649305099</v>
      </c>
      <c r="F112" s="19">
        <v>4.7301943795166203E-2</v>
      </c>
      <c r="G112" s="19">
        <v>1.6699893097123601E-2</v>
      </c>
      <c r="H112" s="19">
        <v>1.03860279712809E-4</v>
      </c>
      <c r="I112" s="19">
        <v>2.91393497598423E-3</v>
      </c>
      <c r="J112" s="19">
        <v>0</v>
      </c>
      <c r="K112" s="19">
        <v>0.50899901223322896</v>
      </c>
      <c r="L112" s="19">
        <v>2.1972475454433801E-4</v>
      </c>
      <c r="M112" s="19">
        <v>2.0871124557625902E-2</v>
      </c>
      <c r="N112" s="19">
        <v>1.8340770113566099E-4</v>
      </c>
      <c r="O112" s="19">
        <v>7.1966731358069594E-2</v>
      </c>
      <c r="P112" s="19">
        <v>3.49593337184085E-4</v>
      </c>
      <c r="Q112" s="19">
        <v>1.8749343327396399E-4</v>
      </c>
      <c r="R112" s="19">
        <v>1.66642024296079E-3</v>
      </c>
      <c r="S112" s="19">
        <v>6.8730531296287201E-4</v>
      </c>
      <c r="T112" s="19">
        <v>0</v>
      </c>
      <c r="U112" s="19">
        <v>1.46299209832726E-4</v>
      </c>
      <c r="V112" s="19">
        <v>0</v>
      </c>
      <c r="W112" s="19">
        <v>0</v>
      </c>
      <c r="X112" s="19">
        <v>0</v>
      </c>
      <c r="Y112" s="19">
        <v>3.7061245042178899E-2</v>
      </c>
      <c r="Z112" s="19">
        <v>7.3818662411221994E-2</v>
      </c>
      <c r="AA112" s="19">
        <v>9.6890337860682199E-2</v>
      </c>
      <c r="AB112" s="19">
        <v>9.9927354324433997E-3</v>
      </c>
      <c r="AC112" s="20">
        <v>3.4027847161725199E-4</v>
      </c>
    </row>
    <row r="113" spans="1:29" ht="29.4" customHeight="1" thickBot="1" x14ac:dyDescent="0.35">
      <c r="A113" s="158"/>
      <c r="B113" s="41" t="s">
        <v>7</v>
      </c>
      <c r="C113" s="159"/>
      <c r="D113" s="155"/>
      <c r="E113" s="70">
        <v>3838.509</v>
      </c>
      <c r="F113" s="71">
        <v>3838.509</v>
      </c>
      <c r="G113" s="71">
        <v>3838.509</v>
      </c>
      <c r="H113" s="71">
        <v>3838.509</v>
      </c>
      <c r="I113" s="71">
        <v>3838.509</v>
      </c>
      <c r="J113" s="71">
        <v>3838.509</v>
      </c>
      <c r="K113" s="71">
        <v>3838.509</v>
      </c>
      <c r="L113" s="71">
        <v>3838.509</v>
      </c>
      <c r="M113" s="71">
        <v>3838.509</v>
      </c>
      <c r="N113" s="71">
        <v>3838.509</v>
      </c>
      <c r="O113" s="71">
        <v>3838.509</v>
      </c>
      <c r="P113" s="71">
        <v>3838.509</v>
      </c>
      <c r="Q113" s="71">
        <v>3838.509</v>
      </c>
      <c r="R113" s="71">
        <v>3838.509</v>
      </c>
      <c r="S113" s="71">
        <v>3838.509</v>
      </c>
      <c r="T113" s="71">
        <v>3838.509</v>
      </c>
      <c r="U113" s="71">
        <v>3838.509</v>
      </c>
      <c r="V113" s="71">
        <v>3838.509</v>
      </c>
      <c r="W113" s="71">
        <v>3838.509</v>
      </c>
      <c r="X113" s="71">
        <v>3838.509</v>
      </c>
      <c r="Y113" s="71">
        <v>3838.509</v>
      </c>
      <c r="Z113" s="71">
        <v>3838.509</v>
      </c>
      <c r="AA113" s="71">
        <v>3838.509</v>
      </c>
      <c r="AB113" s="71">
        <v>3838.509</v>
      </c>
      <c r="AC113" s="72">
        <v>3838.509</v>
      </c>
    </row>
    <row r="114" spans="1:29" ht="29.4" customHeight="1" x14ac:dyDescent="0.3">
      <c r="A114" s="157" t="s">
        <v>85</v>
      </c>
      <c r="B114" s="59" t="s">
        <v>66</v>
      </c>
      <c r="C114" s="159"/>
      <c r="D114" s="155"/>
      <c r="E114" s="19">
        <v>6.6471709483755095E-2</v>
      </c>
      <c r="F114" s="19">
        <v>2.6370326852365799E-2</v>
      </c>
      <c r="G114" s="19">
        <v>1.4521368770794499E-2</v>
      </c>
      <c r="H114" s="19">
        <v>3.8471295924248998E-5</v>
      </c>
      <c r="I114" s="19">
        <v>3.1903634799103401E-3</v>
      </c>
      <c r="J114" s="19">
        <v>0</v>
      </c>
      <c r="K114" s="19">
        <v>0.60589124467820399</v>
      </c>
      <c r="L114" s="19">
        <v>2.5301805187359399E-7</v>
      </c>
      <c r="M114" s="19">
        <v>1.9206537585954399E-2</v>
      </c>
      <c r="N114" s="19">
        <v>8.4644590245099106E-5</v>
      </c>
      <c r="O114" s="19">
        <v>5.6313572355524498E-2</v>
      </c>
      <c r="P114" s="19">
        <v>5.7349245349855901E-4</v>
      </c>
      <c r="Q114" s="19">
        <v>1.2300963278278499E-3</v>
      </c>
      <c r="R114" s="19">
        <v>2.2094979324446102E-3</v>
      </c>
      <c r="S114" s="19">
        <v>9.2577147861392598E-4</v>
      </c>
      <c r="T114" s="19">
        <v>0</v>
      </c>
      <c r="U114" s="19">
        <v>1.8246098205922901E-4</v>
      </c>
      <c r="V114" s="19">
        <v>0</v>
      </c>
      <c r="W114" s="19">
        <v>0</v>
      </c>
      <c r="X114" s="19">
        <v>0</v>
      </c>
      <c r="Y114" s="19">
        <v>4.33217562789616E-2</v>
      </c>
      <c r="Z114" s="19">
        <v>3.1499384501400197E-2</v>
      </c>
      <c r="AA114" s="19">
        <v>0.122958238669908</v>
      </c>
      <c r="AB114" s="19">
        <v>4.0408082102681899E-3</v>
      </c>
      <c r="AC114" s="20">
        <v>9.7000105428734498E-4</v>
      </c>
    </row>
    <row r="115" spans="1:29" ht="29.4" customHeight="1" thickBot="1" x14ac:dyDescent="0.35">
      <c r="A115" s="158"/>
      <c r="B115" s="41" t="s">
        <v>7</v>
      </c>
      <c r="C115" s="160"/>
      <c r="D115" s="156"/>
      <c r="E115" s="22">
        <v>24672.571</v>
      </c>
      <c r="F115" s="15">
        <v>24672.571</v>
      </c>
      <c r="G115" s="15">
        <v>24672.571</v>
      </c>
      <c r="H115" s="15">
        <v>24672.571</v>
      </c>
      <c r="I115" s="15">
        <v>24672.571</v>
      </c>
      <c r="J115" s="15">
        <v>24672.571</v>
      </c>
      <c r="K115" s="15">
        <v>24672.571</v>
      </c>
      <c r="L115" s="15">
        <v>24672.571</v>
      </c>
      <c r="M115" s="15">
        <v>24672.571</v>
      </c>
      <c r="N115" s="15">
        <v>24672.571</v>
      </c>
      <c r="O115" s="15">
        <v>24672.571</v>
      </c>
      <c r="P115" s="15">
        <v>24672.571</v>
      </c>
      <c r="Q115" s="15">
        <v>24672.571</v>
      </c>
      <c r="R115" s="15">
        <v>24672.571</v>
      </c>
      <c r="S115" s="15">
        <v>24672.571</v>
      </c>
      <c r="T115" s="15">
        <v>24672.571</v>
      </c>
      <c r="U115" s="15">
        <v>24672.571</v>
      </c>
      <c r="V115" s="15">
        <v>24672.571</v>
      </c>
      <c r="W115" s="15">
        <v>24672.571</v>
      </c>
      <c r="X115" s="15">
        <v>24672.571</v>
      </c>
      <c r="Y115" s="15">
        <v>24672.571</v>
      </c>
      <c r="Z115" s="15">
        <v>24672.571</v>
      </c>
      <c r="AA115" s="15">
        <v>24672.571</v>
      </c>
      <c r="AB115" s="15">
        <v>24672.571</v>
      </c>
      <c r="AC115" s="16">
        <v>24672.571</v>
      </c>
    </row>
    <row r="116" spans="1:29" x14ac:dyDescent="0.3">
      <c r="A116" s="63"/>
    </row>
    <row r="117" spans="1:29" x14ac:dyDescent="0.3">
      <c r="A117" s="66" t="s">
        <v>91</v>
      </c>
    </row>
    <row r="118" spans="1:29" ht="15" thickBot="1" x14ac:dyDescent="0.35">
      <c r="A118" s="99" t="s">
        <v>150</v>
      </c>
    </row>
    <row r="119" spans="1:29" ht="16.2" customHeight="1" thickBot="1" x14ac:dyDescent="0.35">
      <c r="A119" s="1"/>
      <c r="C119" s="87" t="s">
        <v>2</v>
      </c>
      <c r="D119" s="88" t="s">
        <v>3</v>
      </c>
      <c r="E119" s="88">
        <v>1</v>
      </c>
      <c r="F119" s="88">
        <v>2</v>
      </c>
      <c r="G119" s="88">
        <v>3</v>
      </c>
      <c r="H119" s="88">
        <v>4</v>
      </c>
      <c r="I119" s="88">
        <v>5</v>
      </c>
      <c r="J119" s="88">
        <v>6</v>
      </c>
      <c r="K119" s="88">
        <v>7</v>
      </c>
      <c r="L119" s="88">
        <v>8</v>
      </c>
      <c r="M119" s="88">
        <v>9</v>
      </c>
      <c r="N119" s="88">
        <v>10</v>
      </c>
      <c r="O119" s="88">
        <v>11</v>
      </c>
      <c r="P119" s="88">
        <v>12</v>
      </c>
      <c r="Q119" s="88">
        <v>13</v>
      </c>
      <c r="R119" s="88">
        <v>14</v>
      </c>
      <c r="S119" s="88">
        <v>15</v>
      </c>
      <c r="T119" s="88">
        <v>16</v>
      </c>
      <c r="U119" s="88">
        <v>17</v>
      </c>
      <c r="V119" s="88">
        <v>18</v>
      </c>
      <c r="W119" s="88">
        <v>19</v>
      </c>
      <c r="X119" s="88">
        <v>20</v>
      </c>
      <c r="Y119" s="88">
        <v>21</v>
      </c>
      <c r="Z119" s="88">
        <v>22</v>
      </c>
      <c r="AA119" s="88">
        <v>23</v>
      </c>
      <c r="AB119" s="88">
        <v>24</v>
      </c>
      <c r="AC119" s="89">
        <v>25</v>
      </c>
    </row>
    <row r="120" spans="1:29" ht="29.4" customHeight="1" x14ac:dyDescent="0.3">
      <c r="A120" s="157" t="s">
        <v>83</v>
      </c>
      <c r="B120" s="59" t="s">
        <v>66</v>
      </c>
      <c r="C120" s="159" t="s">
        <v>67</v>
      </c>
      <c r="D120" s="155" t="s">
        <v>92</v>
      </c>
      <c r="E120" s="95">
        <v>0.18388590966713267</v>
      </c>
      <c r="F120" s="7">
        <v>6.6836799757527113E-2</v>
      </c>
      <c r="G120" s="7">
        <v>1.95035933605111E-2</v>
      </c>
      <c r="H120" s="7">
        <v>7.9204588262615075E-5</v>
      </c>
      <c r="I120" s="7">
        <v>6.7406887218431476E-3</v>
      </c>
      <c r="J120" s="7">
        <v>0</v>
      </c>
      <c r="K120" s="7">
        <v>0.42367308084898886</v>
      </c>
      <c r="L120" s="7">
        <v>1.0141511677983063E-4</v>
      </c>
      <c r="M120" s="7">
        <v>4.0780007548582589E-2</v>
      </c>
      <c r="N120" s="7">
        <v>4.5151525295118115E-5</v>
      </c>
      <c r="O120" s="7">
        <v>0.10645279892741825</v>
      </c>
      <c r="P120" s="7">
        <v>0</v>
      </c>
      <c r="Q120" s="7">
        <v>4.2916055616550969E-4</v>
      </c>
      <c r="R120" s="7">
        <v>3.6062869498005631E-3</v>
      </c>
      <c r="S120" s="7">
        <v>1.0849669257112684E-3</v>
      </c>
      <c r="T120" s="7">
        <v>0</v>
      </c>
      <c r="U120" s="7">
        <v>2.1163928307150535E-4</v>
      </c>
      <c r="V120" s="7">
        <v>0</v>
      </c>
      <c r="W120" s="7">
        <v>0</v>
      </c>
      <c r="X120" s="7">
        <v>0</v>
      </c>
      <c r="Y120" s="7">
        <v>4.3382354019962814E-2</v>
      </c>
      <c r="Z120" s="7">
        <v>3.5631633469940457E-2</v>
      </c>
      <c r="AA120" s="7">
        <v>5.9091066487553121E-2</v>
      </c>
      <c r="AB120" s="7">
        <v>7.8841308784006834E-3</v>
      </c>
      <c r="AC120" s="8">
        <v>5.8011136705286056E-4</v>
      </c>
    </row>
    <row r="121" spans="1:29" ht="29.4" customHeight="1" thickBot="1" x14ac:dyDescent="0.35">
      <c r="A121" s="158"/>
      <c r="B121" s="41" t="s">
        <v>7</v>
      </c>
      <c r="C121" s="159"/>
      <c r="D121" s="155"/>
      <c r="E121" s="70">
        <v>1355.8</v>
      </c>
      <c r="F121" s="71">
        <v>1355.8</v>
      </c>
      <c r="G121" s="71">
        <v>1355.8</v>
      </c>
      <c r="H121" s="71">
        <v>1355.8</v>
      </c>
      <c r="I121" s="71">
        <v>1355.8</v>
      </c>
      <c r="J121" s="71">
        <v>1355.8</v>
      </c>
      <c r="K121" s="71">
        <v>1355.8</v>
      </c>
      <c r="L121" s="71">
        <v>1355.8</v>
      </c>
      <c r="M121" s="71">
        <v>1355.8</v>
      </c>
      <c r="N121" s="71">
        <v>1355.8</v>
      </c>
      <c r="O121" s="71">
        <v>1355.8</v>
      </c>
      <c r="P121" s="71">
        <v>1355.8</v>
      </c>
      <c r="Q121" s="71">
        <v>1355.8</v>
      </c>
      <c r="R121" s="71">
        <v>1355.8</v>
      </c>
      <c r="S121" s="71">
        <v>1355.8</v>
      </c>
      <c r="T121" s="71">
        <v>1355.8</v>
      </c>
      <c r="U121" s="71">
        <v>1355.8</v>
      </c>
      <c r="V121" s="71">
        <v>1355.8</v>
      </c>
      <c r="W121" s="71">
        <v>1355.8</v>
      </c>
      <c r="X121" s="71">
        <v>1355.8</v>
      </c>
      <c r="Y121" s="71">
        <v>1355.8</v>
      </c>
      <c r="Z121" s="71">
        <v>1355.8</v>
      </c>
      <c r="AA121" s="71">
        <v>1355.8</v>
      </c>
      <c r="AB121" s="71">
        <v>1355.8</v>
      </c>
      <c r="AC121" s="72">
        <v>1355.8</v>
      </c>
    </row>
    <row r="122" spans="1:29" ht="29.4" customHeight="1" x14ac:dyDescent="0.3">
      <c r="A122" s="157" t="s">
        <v>84</v>
      </c>
      <c r="B122" s="59" t="s">
        <v>66</v>
      </c>
      <c r="C122" s="159"/>
      <c r="D122" s="155"/>
      <c r="E122" s="18">
        <v>0.10963500879562404</v>
      </c>
      <c r="F122" s="19">
        <v>4.7317054653025964E-2</v>
      </c>
      <c r="G122" s="19">
        <v>1.6705227966911526E-2</v>
      </c>
      <c r="H122" s="19">
        <v>1.0389345843228928E-4</v>
      </c>
      <c r="I122" s="19">
        <v>2.914865848030951E-3</v>
      </c>
      <c r="J122" s="19">
        <v>0</v>
      </c>
      <c r="K122" s="19">
        <v>0.50916161467844634</v>
      </c>
      <c r="L122" s="19">
        <v>2.1979494678735833E-4</v>
      </c>
      <c r="M122" s="19">
        <v>2.0877791949518467E-2</v>
      </c>
      <c r="N122" s="19">
        <v>1.8346629170255674E-4</v>
      </c>
      <c r="O122" s="19">
        <v>7.1989721513672833E-2</v>
      </c>
      <c r="P122" s="19">
        <v>0</v>
      </c>
      <c r="Q122" s="19">
        <v>1.8755332904975088E-4</v>
      </c>
      <c r="R122" s="19">
        <v>1.6669525897822011E-3</v>
      </c>
      <c r="S122" s="19">
        <v>7.1249273554718133E-4</v>
      </c>
      <c r="T122" s="19">
        <v>0</v>
      </c>
      <c r="U122" s="19">
        <v>1.5162777762225063E-4</v>
      </c>
      <c r="V122" s="19">
        <v>0</v>
      </c>
      <c r="W122" s="19">
        <v>0</v>
      </c>
      <c r="X122" s="19">
        <v>0</v>
      </c>
      <c r="Y122" s="19">
        <v>3.7073084454283527E-2</v>
      </c>
      <c r="Z122" s="19">
        <v>7.3842244176062902E-2</v>
      </c>
      <c r="AA122" s="19">
        <v>9.6921289995117593E-2</v>
      </c>
      <c r="AB122" s="19">
        <v>9.9959276649952741E-3</v>
      </c>
      <c r="AC122" s="20">
        <v>3.403871753872202E-4</v>
      </c>
    </row>
    <row r="123" spans="1:29" ht="29.4" customHeight="1" thickBot="1" x14ac:dyDescent="0.35">
      <c r="A123" s="158"/>
      <c r="B123" s="41" t="s">
        <v>7</v>
      </c>
      <c r="C123" s="159"/>
      <c r="D123" s="155"/>
      <c r="E123" s="70">
        <v>3838.509</v>
      </c>
      <c r="F123" s="71">
        <v>3838.509</v>
      </c>
      <c r="G123" s="71">
        <v>3838.509</v>
      </c>
      <c r="H123" s="71">
        <v>3838.509</v>
      </c>
      <c r="I123" s="71">
        <v>3838.509</v>
      </c>
      <c r="J123" s="71">
        <v>3838.509</v>
      </c>
      <c r="K123" s="71">
        <v>3838.509</v>
      </c>
      <c r="L123" s="71">
        <v>3838.509</v>
      </c>
      <c r="M123" s="71">
        <v>3838.509</v>
      </c>
      <c r="N123" s="71">
        <v>3838.509</v>
      </c>
      <c r="O123" s="71">
        <v>3838.509</v>
      </c>
      <c r="P123" s="71">
        <v>3838.509</v>
      </c>
      <c r="Q123" s="71">
        <v>3838.509</v>
      </c>
      <c r="R123" s="71">
        <v>3838.509</v>
      </c>
      <c r="S123" s="71">
        <v>3838.509</v>
      </c>
      <c r="T123" s="71">
        <v>3838.509</v>
      </c>
      <c r="U123" s="71">
        <v>3838.509</v>
      </c>
      <c r="V123" s="71">
        <v>3838.509</v>
      </c>
      <c r="W123" s="71">
        <v>3838.509</v>
      </c>
      <c r="X123" s="71">
        <v>3838.509</v>
      </c>
      <c r="Y123" s="71">
        <v>3838.509</v>
      </c>
      <c r="Z123" s="71">
        <v>3838.509</v>
      </c>
      <c r="AA123" s="71">
        <v>3838.509</v>
      </c>
      <c r="AB123" s="71">
        <v>3838.509</v>
      </c>
      <c r="AC123" s="72">
        <v>3838.509</v>
      </c>
    </row>
    <row r="124" spans="1:29" ht="29.4" customHeight="1" x14ac:dyDescent="0.3">
      <c r="A124" s="157" t="s">
        <v>85</v>
      </c>
      <c r="B124" s="59" t="s">
        <v>66</v>
      </c>
      <c r="C124" s="159"/>
      <c r="D124" s="155"/>
      <c r="E124" s="19">
        <v>6.6506551269481226E-2</v>
      </c>
      <c r="F124" s="19">
        <v>2.6384149112765855E-2</v>
      </c>
      <c r="G124" s="19">
        <v>1.4528980285875017E-2</v>
      </c>
      <c r="H124" s="19">
        <v>3.8491461023952475E-5</v>
      </c>
      <c r="I124" s="19">
        <v>3.1920357396072706E-3</v>
      </c>
      <c r="J124" s="19">
        <v>0</v>
      </c>
      <c r="K124" s="19">
        <v>0.60620882840042845</v>
      </c>
      <c r="L124" s="19">
        <v>2.5315067371853685E-7</v>
      </c>
      <c r="M124" s="19">
        <v>1.9216604877322501E-2</v>
      </c>
      <c r="N124" s="19">
        <v>8.4688957521028801E-5</v>
      </c>
      <c r="O124" s="19">
        <v>5.6343089655993002E-2</v>
      </c>
      <c r="P124" s="19">
        <v>0</v>
      </c>
      <c r="Q124" s="19">
        <v>1.2307410946468386E-3</v>
      </c>
      <c r="R124" s="19">
        <v>2.2106560620326976E-3</v>
      </c>
      <c r="S124" s="19">
        <v>9.6722378444383738E-4</v>
      </c>
      <c r="T124" s="19">
        <v>0</v>
      </c>
      <c r="U124" s="19">
        <v>1.9122300588886356E-4</v>
      </c>
      <c r="V124" s="19">
        <v>0</v>
      </c>
      <c r="W124" s="19">
        <v>0</v>
      </c>
      <c r="X124" s="19">
        <v>0</v>
      </c>
      <c r="Y124" s="19">
        <v>4.3344463794102665E-2</v>
      </c>
      <c r="Z124" s="19">
        <v>3.1515895206688585E-2</v>
      </c>
      <c r="AA124" s="19">
        <v>0.12302268841308865</v>
      </c>
      <c r="AB124" s="19">
        <v>4.0429262387485189E-3</v>
      </c>
      <c r="AC124" s="20">
        <v>9.7050948966760067E-4</v>
      </c>
    </row>
    <row r="125" spans="1:29" ht="29.4" customHeight="1" thickBot="1" x14ac:dyDescent="0.35">
      <c r="A125" s="158"/>
      <c r="B125" s="41" t="s">
        <v>7</v>
      </c>
      <c r="C125" s="160"/>
      <c r="D125" s="156"/>
      <c r="E125" s="22">
        <v>24672.571</v>
      </c>
      <c r="F125" s="15">
        <v>24672.571</v>
      </c>
      <c r="G125" s="15">
        <v>24672.571</v>
      </c>
      <c r="H125" s="15">
        <v>24672.571</v>
      </c>
      <c r="I125" s="15">
        <v>24672.571</v>
      </c>
      <c r="J125" s="15">
        <v>24672.571</v>
      </c>
      <c r="K125" s="15">
        <v>24672.571</v>
      </c>
      <c r="L125" s="15">
        <v>24672.571</v>
      </c>
      <c r="M125" s="15">
        <v>24672.571</v>
      </c>
      <c r="N125" s="15">
        <v>24672.571</v>
      </c>
      <c r="O125" s="15">
        <v>24672.571</v>
      </c>
      <c r="P125" s="15">
        <v>24672.571</v>
      </c>
      <c r="Q125" s="15">
        <v>24672.571</v>
      </c>
      <c r="R125" s="15">
        <v>24672.571</v>
      </c>
      <c r="S125" s="15">
        <v>24672.571</v>
      </c>
      <c r="T125" s="15">
        <v>24672.571</v>
      </c>
      <c r="U125" s="15">
        <v>24672.571</v>
      </c>
      <c r="V125" s="15">
        <v>24672.571</v>
      </c>
      <c r="W125" s="15">
        <v>24672.571</v>
      </c>
      <c r="X125" s="15">
        <v>24672.571</v>
      </c>
      <c r="Y125" s="15">
        <v>24672.571</v>
      </c>
      <c r="Z125" s="15">
        <v>24672.571</v>
      </c>
      <c r="AA125" s="15">
        <v>24672.571</v>
      </c>
      <c r="AB125" s="15">
        <v>24672.571</v>
      </c>
      <c r="AC125" s="16">
        <v>24672.571</v>
      </c>
    </row>
    <row r="126" spans="1:29" x14ac:dyDescent="0.3">
      <c r="A126" s="63"/>
    </row>
    <row r="127" spans="1:29" x14ac:dyDescent="0.3">
      <c r="A127" s="1" t="s">
        <v>65</v>
      </c>
    </row>
    <row r="128" spans="1:29" ht="15" thickBot="1" x14ac:dyDescent="0.35">
      <c r="A128" s="99" t="s">
        <v>152</v>
      </c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spans="1:28" ht="15" thickBot="1" x14ac:dyDescent="0.35">
      <c r="B129" s="87" t="s">
        <v>2</v>
      </c>
      <c r="C129" s="87" t="s">
        <v>3</v>
      </c>
      <c r="D129" s="88">
        <v>1</v>
      </c>
      <c r="E129" s="88">
        <v>2</v>
      </c>
      <c r="F129" s="88">
        <v>3</v>
      </c>
      <c r="G129" s="88">
        <v>4</v>
      </c>
      <c r="H129" s="88">
        <v>5</v>
      </c>
      <c r="I129" s="88">
        <v>6</v>
      </c>
      <c r="J129" s="88">
        <v>7</v>
      </c>
      <c r="K129" s="88">
        <v>8</v>
      </c>
      <c r="L129" s="88">
        <v>9</v>
      </c>
      <c r="M129" s="88">
        <v>10</v>
      </c>
      <c r="N129" s="88">
        <v>11</v>
      </c>
      <c r="O129" s="88">
        <v>12</v>
      </c>
      <c r="P129" s="88">
        <v>13</v>
      </c>
      <c r="Q129" s="88">
        <v>14</v>
      </c>
      <c r="R129" s="88">
        <v>15</v>
      </c>
      <c r="S129" s="88">
        <v>16</v>
      </c>
      <c r="T129" s="88">
        <v>17</v>
      </c>
      <c r="U129" s="88">
        <v>18</v>
      </c>
      <c r="V129" s="88">
        <v>19</v>
      </c>
      <c r="W129" s="88">
        <v>20</v>
      </c>
      <c r="X129" s="88">
        <v>21</v>
      </c>
      <c r="Y129" s="88">
        <v>22</v>
      </c>
      <c r="Z129" s="88">
        <v>23</v>
      </c>
      <c r="AA129" s="88">
        <v>24</v>
      </c>
      <c r="AB129" s="89">
        <v>25</v>
      </c>
    </row>
    <row r="130" spans="1:28" ht="15" thickBot="1" x14ac:dyDescent="0.35">
      <c r="A130" s="55" t="s">
        <v>41</v>
      </c>
      <c r="B130" s="54" t="s">
        <v>182</v>
      </c>
      <c r="C130" s="54" t="s">
        <v>14</v>
      </c>
      <c r="D130" s="7">
        <v>1.3082488521975315</v>
      </c>
      <c r="E130" s="7">
        <v>1.0728185705549804</v>
      </c>
      <c r="F130" s="7">
        <v>1.3024676638794088</v>
      </c>
      <c r="G130" s="7">
        <v>3.2757505016335049</v>
      </c>
      <c r="H130" s="7">
        <v>0.61577346855173853</v>
      </c>
      <c r="I130" s="7">
        <v>0</v>
      </c>
      <c r="J130" s="7">
        <v>3.1325232050089951</v>
      </c>
      <c r="K130" s="7">
        <v>1.3024676638794088</v>
      </c>
      <c r="L130" s="7">
        <v>2.4669206185478849</v>
      </c>
      <c r="M130" s="7">
        <v>3.1325232050089951</v>
      </c>
      <c r="N130" s="7">
        <v>1.0388397839333925</v>
      </c>
      <c r="O130" s="7">
        <v>3.1325232050089951</v>
      </c>
      <c r="P130" s="7">
        <v>3.1325232050089951</v>
      </c>
      <c r="Q130" s="7">
        <v>3.1325232050089951</v>
      </c>
      <c r="R130" s="7">
        <v>3.1325232050089951</v>
      </c>
      <c r="S130" s="7">
        <v>3.1325232050089951</v>
      </c>
      <c r="T130" s="7">
        <v>3.1325232050089951</v>
      </c>
      <c r="U130" s="7">
        <v>3.1325232050089951</v>
      </c>
      <c r="V130" s="7">
        <v>3.1325232050089951</v>
      </c>
      <c r="W130" s="7">
        <v>3.1325232050089951</v>
      </c>
      <c r="X130" s="7">
        <v>2.2508795645296349</v>
      </c>
      <c r="Y130" s="7">
        <v>1.54722552034179</v>
      </c>
      <c r="Z130" s="7">
        <v>2.0739878728616099</v>
      </c>
      <c r="AA130" s="7">
        <v>3.1325232050089951</v>
      </c>
      <c r="AB130" s="7">
        <v>3.1325232050089951</v>
      </c>
    </row>
    <row r="132" spans="1:28" x14ac:dyDescent="0.3">
      <c r="A132" s="1" t="s">
        <v>143</v>
      </c>
    </row>
    <row r="133" spans="1:28" ht="15" thickBot="1" x14ac:dyDescent="0.35">
      <c r="A133" s="99" t="s">
        <v>152</v>
      </c>
    </row>
    <row r="134" spans="1:28" ht="15" thickBot="1" x14ac:dyDescent="0.35">
      <c r="B134" s="87" t="s">
        <v>3</v>
      </c>
      <c r="C134" s="88" t="s">
        <v>146</v>
      </c>
    </row>
    <row r="135" spans="1:28" x14ac:dyDescent="0.3">
      <c r="A135" s="111" t="s">
        <v>144</v>
      </c>
      <c r="B135" s="54" t="s">
        <v>14</v>
      </c>
      <c r="C135" s="113">
        <v>-0.48</v>
      </c>
    </row>
    <row r="136" spans="1:28" x14ac:dyDescent="0.3">
      <c r="A136" s="112" t="s">
        <v>145</v>
      </c>
      <c r="B136" s="54" t="s">
        <v>14</v>
      </c>
      <c r="C136" s="114">
        <v>5.4181499999999998</v>
      </c>
    </row>
    <row r="138" spans="1:28" ht="14.25" customHeight="1" x14ac:dyDescent="0.3">
      <c r="A138" s="116" t="s">
        <v>147</v>
      </c>
    </row>
    <row r="139" spans="1:28" ht="15" thickBot="1" x14ac:dyDescent="0.35">
      <c r="A139" s="99" t="s">
        <v>151</v>
      </c>
    </row>
    <row r="140" spans="1:28" ht="15" thickBot="1" x14ac:dyDescent="0.35">
      <c r="B140" s="87" t="s">
        <v>3</v>
      </c>
      <c r="C140" s="88" t="s">
        <v>149</v>
      </c>
    </row>
    <row r="141" spans="1:28" ht="14.25" customHeight="1" x14ac:dyDescent="0.3">
      <c r="A141" s="111" t="s">
        <v>148</v>
      </c>
      <c r="B141" s="115" t="s">
        <v>14</v>
      </c>
      <c r="C141" s="113">
        <v>1</v>
      </c>
    </row>
    <row r="142" spans="1:28" ht="14.25" customHeight="1" thickBot="1" x14ac:dyDescent="0.35">
      <c r="A142" s="99" t="s">
        <v>150</v>
      </c>
    </row>
    <row r="143" spans="1:28" ht="14.25" customHeight="1" x14ac:dyDescent="0.3">
      <c r="A143" s="111" t="s">
        <v>148</v>
      </c>
      <c r="B143" s="115" t="s">
        <v>14</v>
      </c>
      <c r="C143" s="113">
        <v>0.95</v>
      </c>
    </row>
    <row r="144" spans="1:28" ht="14.25" customHeight="1" x14ac:dyDescent="0.3"/>
    <row r="176" spans="37:56" x14ac:dyDescent="0.3">
      <c r="AK176" s="43"/>
      <c r="AL176" s="43"/>
      <c r="AM176" s="43"/>
      <c r="AN176" s="43"/>
      <c r="AO176" s="43"/>
      <c r="AP176" s="43"/>
      <c r="AQ176" s="43"/>
      <c r="AX176" s="43"/>
      <c r="AY176" s="43"/>
      <c r="AZ176" s="43"/>
      <c r="BA176" s="43"/>
      <c r="BB176" s="43"/>
      <c r="BC176" s="43"/>
      <c r="BD176" s="43"/>
    </row>
    <row r="177" spans="37:56" x14ac:dyDescent="0.3">
      <c r="AK177" s="43"/>
      <c r="AL177" s="43"/>
      <c r="AM177" s="43"/>
      <c r="AN177" s="43"/>
      <c r="AO177" s="43"/>
      <c r="AP177" s="43"/>
      <c r="AQ177" s="43"/>
      <c r="AX177" s="43"/>
      <c r="AY177" s="43"/>
      <c r="AZ177" s="43"/>
      <c r="BA177" s="43"/>
      <c r="BB177" s="43"/>
      <c r="BC177" s="43"/>
      <c r="BD177" s="43"/>
    </row>
    <row r="178" spans="37:56" x14ac:dyDescent="0.3">
      <c r="AK178" s="43"/>
      <c r="AL178" s="43"/>
      <c r="AM178" s="43"/>
      <c r="AN178" s="43"/>
      <c r="AO178" s="43"/>
      <c r="AP178" s="43"/>
      <c r="AQ178" s="43"/>
      <c r="AY178" s="43"/>
      <c r="AZ178" s="43"/>
      <c r="BA178" s="43"/>
      <c r="BB178" s="43"/>
      <c r="BC178" s="43"/>
      <c r="BD178" s="43"/>
    </row>
    <row r="179" spans="37:56" x14ac:dyDescent="0.3">
      <c r="AK179" s="43"/>
      <c r="AL179" s="43"/>
      <c r="AM179" s="43"/>
      <c r="AN179" s="43"/>
      <c r="AO179" s="43"/>
      <c r="AP179" s="43"/>
      <c r="AQ179" s="43"/>
      <c r="AX179" s="43"/>
      <c r="AY179" s="43"/>
      <c r="AZ179" s="43"/>
      <c r="BA179" s="43"/>
      <c r="BB179" s="43"/>
      <c r="BC179" s="43"/>
      <c r="BD179" s="43"/>
    </row>
    <row r="180" spans="37:56" x14ac:dyDescent="0.3">
      <c r="AK180" s="43"/>
      <c r="AL180" s="43"/>
      <c r="AM180" s="43"/>
      <c r="AN180" s="43"/>
      <c r="AO180" s="43"/>
      <c r="AP180" s="43"/>
      <c r="AQ180" s="43"/>
      <c r="AX180" s="43"/>
      <c r="AY180" s="43"/>
      <c r="AZ180" s="43"/>
      <c r="BA180" s="43"/>
      <c r="BB180" s="43"/>
      <c r="BC180" s="43"/>
      <c r="BD180" s="43"/>
    </row>
    <row r="181" spans="37:56" x14ac:dyDescent="0.3">
      <c r="AK181" s="43"/>
      <c r="AL181" s="43"/>
      <c r="AM181" s="43"/>
      <c r="AN181" s="43"/>
      <c r="AO181" s="43"/>
      <c r="AP181" s="43"/>
      <c r="AQ181" s="43"/>
      <c r="AX181" s="43"/>
      <c r="AY181" s="43"/>
      <c r="AZ181" s="43"/>
      <c r="BA181" s="43"/>
      <c r="BB181" s="43"/>
      <c r="BC181" s="43"/>
      <c r="BD181" s="43"/>
    </row>
    <row r="182" spans="37:56" x14ac:dyDescent="0.3">
      <c r="AK182" s="43"/>
      <c r="AL182" s="43"/>
      <c r="AM182" s="43"/>
      <c r="AN182" s="43"/>
      <c r="AO182" s="43"/>
      <c r="AP182" s="43"/>
      <c r="AQ182" s="43"/>
      <c r="AX182" s="43"/>
      <c r="AY182" s="43"/>
      <c r="AZ182" s="43"/>
      <c r="BA182" s="43"/>
      <c r="BB182" s="43"/>
      <c r="BC182" s="43"/>
      <c r="BD182" s="43"/>
    </row>
    <row r="183" spans="37:56" x14ac:dyDescent="0.3">
      <c r="AK183" s="43"/>
      <c r="AL183" s="43"/>
      <c r="AM183" s="43"/>
      <c r="AN183" s="43"/>
      <c r="AO183" s="43"/>
      <c r="AP183" s="43"/>
      <c r="AQ183" s="43"/>
      <c r="AX183" s="43"/>
      <c r="AY183" s="43"/>
      <c r="AZ183" s="43"/>
      <c r="BA183" s="43"/>
      <c r="BB183" s="43"/>
      <c r="BC183" s="43"/>
      <c r="BD183" s="43"/>
    </row>
    <row r="184" spans="37:56" x14ac:dyDescent="0.3">
      <c r="AK184" s="43"/>
      <c r="AL184" s="43"/>
      <c r="AM184" s="43"/>
      <c r="AN184" s="43"/>
      <c r="AO184" s="43"/>
      <c r="AP184" s="43"/>
      <c r="AQ184" s="43"/>
      <c r="AX184" s="43"/>
      <c r="AY184" s="43"/>
      <c r="AZ184" s="43"/>
      <c r="BA184" s="43"/>
      <c r="BB184" s="43"/>
      <c r="BC184" s="43"/>
      <c r="BD184" s="43"/>
    </row>
    <row r="185" spans="37:56" x14ac:dyDescent="0.3">
      <c r="AK185" s="43"/>
      <c r="AL185" s="43"/>
      <c r="AM185" s="43"/>
      <c r="AN185" s="43"/>
      <c r="AO185" s="43"/>
      <c r="AP185" s="43"/>
      <c r="AQ185" s="43"/>
      <c r="AY185" s="43"/>
      <c r="AZ185" s="43"/>
      <c r="BA185" s="43"/>
      <c r="BB185" s="43"/>
      <c r="BC185" s="43"/>
      <c r="BD185" s="43"/>
    </row>
    <row r="186" spans="37:56" x14ac:dyDescent="0.3">
      <c r="AK186" s="43"/>
      <c r="AL186" s="43"/>
      <c r="AM186" s="43"/>
      <c r="AN186" s="43"/>
      <c r="AO186" s="43"/>
      <c r="AP186" s="43"/>
      <c r="AQ186" s="43"/>
      <c r="AX186" s="43"/>
      <c r="AY186" s="43"/>
      <c r="AZ186" s="43"/>
      <c r="BA186" s="43"/>
      <c r="BB186" s="43"/>
      <c r="BC186" s="43"/>
      <c r="BD186" s="43"/>
    </row>
    <row r="187" spans="37:56" x14ac:dyDescent="0.3">
      <c r="AK187" s="43"/>
      <c r="AL187" s="43"/>
      <c r="AM187" s="43"/>
      <c r="AN187" s="43"/>
      <c r="AO187" s="43"/>
      <c r="AP187" s="43"/>
      <c r="AQ187" s="43"/>
      <c r="AY187" s="43"/>
      <c r="AZ187" s="43"/>
      <c r="BA187" s="43"/>
      <c r="BB187" s="43"/>
      <c r="BC187" s="43"/>
      <c r="BD187" s="43"/>
    </row>
    <row r="188" spans="37:56" x14ac:dyDescent="0.3">
      <c r="AK188" s="43"/>
      <c r="AL188" s="43"/>
      <c r="AM188" s="43"/>
      <c r="AN188" s="43"/>
      <c r="AO188" s="43"/>
      <c r="AP188" s="43"/>
      <c r="AQ188" s="43"/>
    </row>
    <row r="189" spans="37:56" x14ac:dyDescent="0.3">
      <c r="AK189" s="43"/>
      <c r="AL189" s="43"/>
      <c r="AM189" s="43"/>
      <c r="AN189" s="43"/>
      <c r="AO189" s="43"/>
      <c r="AP189" s="43"/>
      <c r="AQ189" s="43"/>
    </row>
    <row r="190" spans="37:56" x14ac:dyDescent="0.3">
      <c r="AK190" s="43"/>
      <c r="AL190" s="43"/>
      <c r="AM190" s="43"/>
      <c r="AN190" s="43"/>
      <c r="AO190" s="43"/>
      <c r="AP190" s="43"/>
      <c r="AQ190" s="43"/>
    </row>
    <row r="191" spans="37:56" x14ac:dyDescent="0.3">
      <c r="AK191" s="43"/>
      <c r="AL191" s="43"/>
      <c r="AM191" s="43"/>
      <c r="AN191" s="43"/>
      <c r="AO191" s="43"/>
      <c r="AP191" s="43"/>
      <c r="AQ191" s="43"/>
    </row>
    <row r="192" spans="37:56" x14ac:dyDescent="0.3">
      <c r="AK192" s="43"/>
      <c r="AL192" s="43"/>
      <c r="AM192" s="43"/>
      <c r="AN192" s="43"/>
      <c r="AO192" s="43"/>
      <c r="AP192" s="43"/>
      <c r="AQ192" s="43"/>
    </row>
    <row r="193" spans="28:56" x14ac:dyDescent="0.3">
      <c r="AK193" s="43"/>
      <c r="AL193" s="43"/>
      <c r="AM193" s="43"/>
      <c r="AN193" s="43"/>
      <c r="AO193" s="43"/>
      <c r="AP193" s="43"/>
      <c r="AQ193" s="43"/>
    </row>
    <row r="194" spans="28:56" x14ac:dyDescent="0.3">
      <c r="AK194" s="43"/>
      <c r="AL194" s="43"/>
      <c r="AM194" s="43"/>
      <c r="AN194" s="43"/>
      <c r="AO194" s="43"/>
      <c r="AP194" s="43"/>
      <c r="AQ194" s="43"/>
    </row>
    <row r="195" spans="28:56" x14ac:dyDescent="0.3">
      <c r="AK195" s="43"/>
      <c r="AL195" s="43"/>
      <c r="AM195" s="43"/>
      <c r="AN195" s="43"/>
      <c r="AO195" s="43"/>
      <c r="AP195" s="43"/>
      <c r="AQ195" s="43"/>
    </row>
    <row r="196" spans="28:56" x14ac:dyDescent="0.3">
      <c r="AK196" s="43"/>
      <c r="AL196" s="43"/>
      <c r="AM196" s="43"/>
      <c r="AN196" s="43"/>
      <c r="AO196" s="43"/>
      <c r="AP196" s="43"/>
      <c r="AQ196" s="43"/>
      <c r="AX196" s="43"/>
      <c r="AY196" s="43"/>
      <c r="AZ196" s="43"/>
      <c r="BA196" s="43"/>
      <c r="BB196" s="43"/>
      <c r="BC196" s="43"/>
      <c r="BD196" s="43"/>
    </row>
    <row r="197" spans="28:56" x14ac:dyDescent="0.3">
      <c r="AK197" s="43"/>
      <c r="AL197" s="43"/>
      <c r="AM197" s="43"/>
      <c r="AN197" s="43"/>
      <c r="AO197" s="43"/>
      <c r="AP197" s="43"/>
      <c r="AQ197" s="43"/>
      <c r="AX197" s="43"/>
      <c r="AY197" s="43"/>
      <c r="AZ197" s="43"/>
      <c r="BA197" s="43"/>
      <c r="BB197" s="43"/>
      <c r="BC197" s="43"/>
      <c r="BD197" s="43"/>
    </row>
    <row r="198" spans="28:56" x14ac:dyDescent="0.3">
      <c r="AK198" s="43"/>
      <c r="AL198" s="43"/>
      <c r="AM198" s="43"/>
      <c r="AN198" s="43"/>
      <c r="AO198" s="43"/>
      <c r="AP198" s="43"/>
      <c r="AQ198" s="43"/>
      <c r="AX198" s="43"/>
      <c r="AY198" s="43"/>
      <c r="AZ198" s="43"/>
      <c r="BA198" s="43"/>
      <c r="BB198" s="43"/>
      <c r="BC198" s="43"/>
      <c r="BD198" s="43"/>
    </row>
    <row r="199" spans="28:56" x14ac:dyDescent="0.3">
      <c r="AK199" s="43"/>
      <c r="AL199" s="43"/>
      <c r="AM199" s="43"/>
      <c r="AN199" s="43"/>
      <c r="AO199" s="43"/>
      <c r="AP199" s="43"/>
      <c r="AQ199" s="43"/>
      <c r="AX199" s="43"/>
      <c r="AY199" s="43"/>
      <c r="AZ199" s="43"/>
      <c r="BA199" s="43"/>
      <c r="BB199" s="43"/>
      <c r="BC199" s="43"/>
      <c r="BD199" s="43"/>
    </row>
    <row r="200" spans="28:56" x14ac:dyDescent="0.3">
      <c r="AK200" s="43"/>
      <c r="AL200" s="43"/>
      <c r="AM200" s="43"/>
      <c r="AN200" s="43"/>
      <c r="AO200" s="43"/>
      <c r="AP200" s="43"/>
      <c r="AQ200" s="43"/>
      <c r="AX200" s="43"/>
      <c r="AY200" s="43"/>
      <c r="AZ200" s="43"/>
      <c r="BA200" s="43"/>
      <c r="BB200" s="43"/>
      <c r="BC200" s="43"/>
      <c r="BD200" s="43"/>
    </row>
    <row r="202" spans="28:56" x14ac:dyDescent="0.3">
      <c r="AB202" s="43"/>
      <c r="AC202" s="43"/>
      <c r="AD202" s="43"/>
      <c r="AE202" s="43"/>
      <c r="AF202" s="43"/>
      <c r="AG202" s="43"/>
      <c r="AH202" s="43"/>
      <c r="AK202" s="43"/>
      <c r="AL202" s="43"/>
      <c r="AM202" s="43"/>
      <c r="AN202" s="43"/>
      <c r="AO202" s="43"/>
      <c r="AP202" s="43"/>
      <c r="AQ202" s="43"/>
      <c r="AX202" s="43"/>
      <c r="AY202" s="43"/>
      <c r="AZ202" s="43"/>
      <c r="BA202" s="43"/>
      <c r="BB202" s="43"/>
      <c r="BC202" s="43"/>
      <c r="BD202" s="43"/>
    </row>
    <row r="203" spans="28:56" x14ac:dyDescent="0.3">
      <c r="AB203" s="43"/>
      <c r="AC203" s="43"/>
      <c r="AD203" s="43"/>
      <c r="AE203" s="43"/>
      <c r="AF203" s="43"/>
      <c r="AG203" s="43"/>
      <c r="AH203" s="43"/>
    </row>
    <row r="204" spans="28:56" x14ac:dyDescent="0.3">
      <c r="AB204" s="43"/>
      <c r="AC204" s="43"/>
      <c r="AD204" s="43"/>
      <c r="AE204" s="43"/>
      <c r="AF204" s="43"/>
      <c r="AG204" s="43"/>
      <c r="AH204" s="43"/>
    </row>
    <row r="205" spans="28:56" x14ac:dyDescent="0.3">
      <c r="AB205" s="43"/>
      <c r="AC205" s="43"/>
      <c r="AD205" s="43"/>
      <c r="AE205" s="43"/>
      <c r="AF205" s="43"/>
      <c r="AG205" s="43"/>
      <c r="AH205" s="43"/>
    </row>
    <row r="239" spans="37:56" x14ac:dyDescent="0.3">
      <c r="AK239" s="43"/>
      <c r="AL239" s="43"/>
      <c r="AM239" s="43"/>
      <c r="AN239" s="43"/>
      <c r="AO239" s="43"/>
      <c r="AP239" s="43"/>
      <c r="AQ239" s="43"/>
      <c r="AR239" s="43"/>
      <c r="AX239" s="43"/>
      <c r="AY239" s="43"/>
      <c r="AZ239" s="43"/>
      <c r="BA239" s="43"/>
      <c r="BB239" s="43"/>
      <c r="BC239" s="43"/>
      <c r="BD239" s="43"/>
    </row>
    <row r="240" spans="37:56" x14ac:dyDescent="0.3">
      <c r="AK240" s="43"/>
      <c r="AL240" s="43"/>
      <c r="AM240" s="43"/>
      <c r="AN240" s="43"/>
      <c r="AO240" s="43"/>
      <c r="AP240" s="43"/>
      <c r="AQ240" s="43"/>
      <c r="AR240" s="43"/>
      <c r="AX240" s="43"/>
      <c r="AY240" s="43"/>
      <c r="AZ240" s="43"/>
      <c r="BA240" s="43"/>
      <c r="BB240" s="43"/>
      <c r="BC240" s="43"/>
      <c r="BD240" s="43"/>
    </row>
    <row r="241" spans="2:56" x14ac:dyDescent="0.3"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K241" s="43"/>
      <c r="AL241" s="43"/>
      <c r="AM241" s="43"/>
      <c r="AN241" s="43"/>
      <c r="AO241" s="43"/>
      <c r="AP241" s="43"/>
      <c r="AQ241" s="43"/>
      <c r="AR241" s="43"/>
    </row>
    <row r="242" spans="2:56" x14ac:dyDescent="0.3">
      <c r="AK242" s="43"/>
      <c r="AL242" s="43"/>
      <c r="AM242" s="43"/>
      <c r="AN242" s="43"/>
      <c r="AO242" s="43"/>
      <c r="AP242" s="43"/>
      <c r="AQ242" s="43"/>
      <c r="AR242" s="43"/>
      <c r="AX242" s="43"/>
      <c r="AY242" s="43"/>
      <c r="AZ242" s="43"/>
      <c r="BA242" s="43"/>
      <c r="BB242" s="43"/>
      <c r="BC242" s="43"/>
      <c r="BD242" s="43"/>
    </row>
    <row r="243" spans="2:56" x14ac:dyDescent="0.3">
      <c r="AK243" s="43"/>
      <c r="AL243" s="43"/>
      <c r="AM243" s="43"/>
      <c r="AN243" s="43"/>
      <c r="AO243" s="43"/>
      <c r="AP243" s="43"/>
      <c r="AQ243" s="43"/>
      <c r="AR243" s="43"/>
      <c r="AX243" s="43"/>
      <c r="AY243" s="43"/>
      <c r="AZ243" s="43"/>
      <c r="BA243" s="43"/>
      <c r="BB243" s="43"/>
      <c r="BC243" s="43"/>
      <c r="BD243" s="43"/>
    </row>
    <row r="244" spans="2:56" x14ac:dyDescent="0.3">
      <c r="AK244" s="43"/>
      <c r="AL244" s="43"/>
      <c r="AM244" s="43"/>
      <c r="AN244" s="43"/>
      <c r="AO244" s="43"/>
      <c r="AP244" s="43"/>
      <c r="AQ244" s="43"/>
      <c r="AR244" s="43"/>
      <c r="AX244" s="43"/>
      <c r="AY244" s="43"/>
      <c r="AZ244" s="43"/>
      <c r="BA244" s="43"/>
      <c r="BB244" s="43"/>
      <c r="BC244" s="43"/>
      <c r="BD244" s="43"/>
    </row>
    <row r="245" spans="2:56" x14ac:dyDescent="0.3">
      <c r="AK245" s="43"/>
      <c r="AL245" s="43"/>
      <c r="AM245" s="43"/>
      <c r="AN245" s="43"/>
      <c r="AO245" s="43"/>
      <c r="AP245" s="43"/>
      <c r="AQ245" s="43"/>
      <c r="AR245" s="43"/>
      <c r="AX245" s="43"/>
      <c r="AY245" s="43"/>
      <c r="AZ245" s="43"/>
      <c r="BA245" s="43"/>
      <c r="BB245" s="43"/>
      <c r="BC245" s="43"/>
      <c r="BD245" s="43"/>
    </row>
    <row r="246" spans="2:56" x14ac:dyDescent="0.3">
      <c r="AK246" s="43"/>
      <c r="AL246" s="43"/>
      <c r="AM246" s="43"/>
      <c r="AN246" s="43"/>
      <c r="AO246" s="43"/>
      <c r="AP246" s="43"/>
      <c r="AQ246" s="43"/>
      <c r="AR246" s="43"/>
      <c r="AX246" s="43"/>
      <c r="AY246" s="43"/>
      <c r="AZ246" s="43"/>
      <c r="BA246" s="43"/>
      <c r="BB246" s="43"/>
      <c r="BC246" s="43"/>
      <c r="BD246" s="43"/>
    </row>
    <row r="247" spans="2:56" x14ac:dyDescent="0.3">
      <c r="AK247" s="43"/>
      <c r="AL247" s="43"/>
      <c r="AM247" s="43"/>
      <c r="AN247" s="43"/>
      <c r="AO247" s="43"/>
      <c r="AP247" s="43"/>
      <c r="AQ247" s="43"/>
      <c r="AR247" s="43"/>
      <c r="AX247" s="43"/>
      <c r="AY247" s="43"/>
      <c r="AZ247" s="43"/>
      <c r="BA247" s="43"/>
      <c r="BB247" s="43"/>
      <c r="BC247" s="43"/>
      <c r="BD247" s="43"/>
    </row>
    <row r="248" spans="2:56" x14ac:dyDescent="0.3">
      <c r="AK248" s="43"/>
      <c r="AL248" s="43"/>
      <c r="AM248" s="43"/>
      <c r="AN248" s="43"/>
      <c r="AO248" s="43"/>
      <c r="AP248" s="43"/>
      <c r="AQ248" s="43"/>
      <c r="AR248" s="43"/>
    </row>
    <row r="249" spans="2:56" x14ac:dyDescent="0.3">
      <c r="AK249" s="43"/>
      <c r="AL249" s="43"/>
      <c r="AM249" s="43"/>
      <c r="AN249" s="43"/>
      <c r="AO249" s="43"/>
      <c r="AP249" s="43"/>
      <c r="AQ249" s="43"/>
      <c r="AR249" s="43"/>
      <c r="AX249" s="43"/>
      <c r="AY249" s="43"/>
      <c r="AZ249" s="43"/>
      <c r="BA249" s="43"/>
      <c r="BB249" s="43"/>
      <c r="BC249" s="43"/>
      <c r="BD249" s="43"/>
    </row>
    <row r="250" spans="2:56" x14ac:dyDescent="0.3">
      <c r="AK250" s="43"/>
      <c r="AL250" s="43"/>
      <c r="AM250" s="43"/>
      <c r="AN250" s="43"/>
      <c r="AO250" s="43"/>
      <c r="AP250" s="43"/>
      <c r="AQ250" s="43"/>
      <c r="AR250" s="43"/>
    </row>
    <row r="251" spans="2:56" x14ac:dyDescent="0.3">
      <c r="AK251" s="43"/>
      <c r="AL251" s="43"/>
      <c r="AM251" s="43"/>
      <c r="AN251" s="43"/>
      <c r="AO251" s="43"/>
      <c r="AP251" s="43"/>
      <c r="AQ251" s="43"/>
      <c r="AR251" s="43"/>
    </row>
    <row r="252" spans="2:56" x14ac:dyDescent="0.3">
      <c r="AK252" s="43"/>
      <c r="AL252" s="43"/>
      <c r="AM252" s="43"/>
      <c r="AN252" s="43"/>
      <c r="AO252" s="43"/>
      <c r="AP252" s="43"/>
      <c r="AQ252" s="43"/>
      <c r="AR252" s="43"/>
    </row>
    <row r="253" spans="2:56" x14ac:dyDescent="0.3">
      <c r="AK253" s="43"/>
      <c r="AL253" s="43"/>
      <c r="AM253" s="43"/>
      <c r="AN253" s="43"/>
      <c r="AO253" s="43"/>
      <c r="AP253" s="43"/>
      <c r="AQ253" s="43"/>
      <c r="AR253" s="43"/>
    </row>
    <row r="254" spans="2:56" x14ac:dyDescent="0.3">
      <c r="AK254" s="43"/>
      <c r="AL254" s="43"/>
      <c r="AM254" s="43"/>
      <c r="AN254" s="43"/>
      <c r="AO254" s="43"/>
      <c r="AP254" s="43"/>
      <c r="AQ254" s="43"/>
      <c r="AR254" s="43"/>
    </row>
    <row r="255" spans="2:56" x14ac:dyDescent="0.3">
      <c r="AK255" s="43"/>
      <c r="AL255" s="43"/>
      <c r="AM255" s="43"/>
      <c r="AN255" s="43"/>
      <c r="AO255" s="43"/>
      <c r="AP255" s="43"/>
      <c r="AQ255" s="43"/>
      <c r="AR255" s="43"/>
    </row>
    <row r="256" spans="2:56" x14ac:dyDescent="0.3">
      <c r="AK256" s="43"/>
      <c r="AL256" s="43"/>
      <c r="AM256" s="43"/>
      <c r="AN256" s="43"/>
      <c r="AO256" s="43"/>
      <c r="AP256" s="43"/>
      <c r="AQ256" s="43"/>
      <c r="AR256" s="43"/>
    </row>
    <row r="257" spans="1:56" x14ac:dyDescent="0.3">
      <c r="AK257" s="43"/>
      <c r="AL257" s="43"/>
      <c r="AM257" s="43"/>
      <c r="AN257" s="43"/>
      <c r="AO257" s="43"/>
      <c r="AP257" s="43"/>
      <c r="AQ257" s="43"/>
      <c r="AR257" s="43"/>
    </row>
    <row r="258" spans="1:56" x14ac:dyDescent="0.3">
      <c r="AK258" s="43"/>
      <c r="AL258" s="43"/>
      <c r="AM258" s="43"/>
      <c r="AN258" s="43"/>
      <c r="AO258" s="43"/>
      <c r="AP258" s="43"/>
      <c r="AQ258" s="43"/>
      <c r="AR258" s="43"/>
    </row>
    <row r="259" spans="1:56" x14ac:dyDescent="0.3">
      <c r="AK259" s="43"/>
      <c r="AL259" s="43"/>
      <c r="AM259" s="43"/>
      <c r="AN259" s="43"/>
      <c r="AO259" s="43"/>
      <c r="AP259" s="43"/>
      <c r="AQ259" s="43"/>
      <c r="AR259" s="43"/>
      <c r="AX259" s="43"/>
      <c r="AY259" s="43"/>
      <c r="AZ259" s="43"/>
      <c r="BA259" s="43"/>
      <c r="BB259" s="43"/>
      <c r="BC259" s="43"/>
      <c r="BD259" s="43"/>
    </row>
    <row r="260" spans="1:56" x14ac:dyDescent="0.3">
      <c r="AK260" s="43"/>
      <c r="AL260" s="43"/>
      <c r="AM260" s="43"/>
      <c r="AN260" s="43"/>
      <c r="AO260" s="43"/>
      <c r="AP260" s="43"/>
      <c r="AQ260" s="43"/>
      <c r="AR260" s="43"/>
      <c r="AX260" s="43"/>
      <c r="AY260" s="43"/>
      <c r="AZ260" s="43"/>
      <c r="BA260" s="43"/>
      <c r="BB260" s="43"/>
      <c r="BC260" s="43"/>
      <c r="BD260" s="43"/>
    </row>
    <row r="261" spans="1:56" x14ac:dyDescent="0.3">
      <c r="AK261" s="43"/>
      <c r="AL261" s="43"/>
      <c r="AM261" s="43"/>
      <c r="AN261" s="43"/>
      <c r="AO261" s="43"/>
      <c r="AP261" s="43"/>
      <c r="AQ261" s="43"/>
      <c r="AR261" s="43"/>
      <c r="AX261" s="43"/>
      <c r="AY261" s="43"/>
      <c r="AZ261" s="43"/>
      <c r="BA261" s="43"/>
      <c r="BB261" s="43"/>
      <c r="BC261" s="43"/>
      <c r="BD261" s="43"/>
    </row>
    <row r="262" spans="1:56" x14ac:dyDescent="0.3">
      <c r="AK262" s="43"/>
      <c r="AL262" s="43"/>
      <c r="AM262" s="43"/>
      <c r="AN262" s="43"/>
      <c r="AO262" s="43"/>
      <c r="AP262" s="43"/>
      <c r="AQ262" s="43"/>
      <c r="AR262" s="43"/>
      <c r="AX262" s="43"/>
      <c r="AY262" s="43"/>
      <c r="AZ262" s="43"/>
      <c r="BA262" s="43"/>
      <c r="BB262" s="43"/>
      <c r="BC262" s="43"/>
      <c r="BD262" s="43"/>
    </row>
    <row r="263" spans="1:56" x14ac:dyDescent="0.3">
      <c r="AK263" s="43"/>
      <c r="AL263" s="43"/>
      <c r="AM263" s="43"/>
      <c r="AN263" s="43"/>
      <c r="AO263" s="43"/>
      <c r="AP263" s="43"/>
      <c r="AQ263" s="43"/>
      <c r="AR263" s="43"/>
      <c r="AX263" s="43"/>
      <c r="AY263" s="43"/>
      <c r="AZ263" s="43"/>
      <c r="BA263" s="43"/>
      <c r="BB263" s="43"/>
      <c r="BC263" s="43"/>
      <c r="BD263" s="43"/>
    </row>
    <row r="265" spans="1:56" x14ac:dyDescent="0.3">
      <c r="AB265" s="43"/>
      <c r="AC265" s="43"/>
      <c r="AD265" s="43"/>
      <c r="AE265" s="43"/>
      <c r="AF265" s="43"/>
      <c r="AG265" s="43"/>
      <c r="AH265" s="43"/>
      <c r="AK265" s="43"/>
      <c r="AL265" s="43"/>
      <c r="AM265" s="43"/>
      <c r="AN265" s="43"/>
      <c r="AO265" s="43"/>
      <c r="AP265" s="43"/>
      <c r="AQ265" s="43"/>
      <c r="AX265" s="43"/>
      <c r="AY265" s="43"/>
      <c r="AZ265" s="43"/>
      <c r="BA265" s="43"/>
      <c r="BB265" s="43"/>
      <c r="BC265" s="43"/>
      <c r="BD265" s="43"/>
    </row>
    <row r="266" spans="1:56" x14ac:dyDescent="0.3">
      <c r="AB266" s="43"/>
      <c r="AC266" s="43"/>
      <c r="AD266" s="43"/>
      <c r="AE266" s="43"/>
      <c r="AF266" s="43"/>
      <c r="AG266" s="43"/>
      <c r="AH266" s="43"/>
      <c r="AK266" s="43"/>
    </row>
    <row r="267" spans="1:56" x14ac:dyDescent="0.3">
      <c r="AB267" s="43"/>
      <c r="AC267" s="43"/>
      <c r="AD267" s="43"/>
      <c r="AE267" s="43"/>
      <c r="AF267" s="43"/>
      <c r="AG267" s="43"/>
      <c r="AH267" s="43"/>
    </row>
    <row r="268" spans="1:56" x14ac:dyDescent="0.3">
      <c r="AB268" s="43"/>
      <c r="AC268" s="43"/>
      <c r="AD268" s="43"/>
      <c r="AE268" s="43"/>
      <c r="AF268" s="43"/>
      <c r="AG268" s="43"/>
      <c r="AH268" s="43"/>
    </row>
    <row r="269" spans="1:56" x14ac:dyDescent="0.3">
      <c r="A269" s="44"/>
      <c r="Z269" s="45"/>
    </row>
    <row r="270" spans="1:56" x14ac:dyDescent="0.3">
      <c r="A270" s="44"/>
      <c r="Z270" s="45"/>
    </row>
    <row r="271" spans="1:56" x14ac:dyDescent="0.3">
      <c r="A271" s="44"/>
      <c r="Z271" s="45"/>
    </row>
    <row r="272" spans="1:56" x14ac:dyDescent="0.3">
      <c r="A272" s="44"/>
      <c r="Z272" s="45"/>
    </row>
    <row r="273" spans="1:26" x14ac:dyDescent="0.3">
      <c r="A273" s="44"/>
    </row>
    <row r="274" spans="1:26" x14ac:dyDescent="0.3">
      <c r="A274" s="44"/>
      <c r="Z274" s="45"/>
    </row>
    <row r="275" spans="1:26" x14ac:dyDescent="0.3">
      <c r="A275" s="44"/>
      <c r="Z275" s="45"/>
    </row>
    <row r="276" spans="1:26" x14ac:dyDescent="0.3">
      <c r="A276" s="44"/>
      <c r="Z276" s="45"/>
    </row>
    <row r="277" spans="1:26" x14ac:dyDescent="0.3">
      <c r="A277" s="44"/>
      <c r="Z277" s="45"/>
    </row>
    <row r="333" spans="2:34" x14ac:dyDescent="0.3"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B333" s="43"/>
      <c r="AC333" s="43"/>
      <c r="AD333" s="43"/>
      <c r="AE333" s="43"/>
      <c r="AF333" s="43"/>
      <c r="AG333" s="43"/>
      <c r="AH333" s="43"/>
    </row>
    <row r="375" spans="22:25" x14ac:dyDescent="0.3">
      <c r="V375" s="46"/>
      <c r="W375" s="47"/>
      <c r="X375" s="48"/>
      <c r="Y375" s="48"/>
    </row>
    <row r="376" spans="22:25" x14ac:dyDescent="0.3">
      <c r="V376" s="49"/>
      <c r="W376" s="50"/>
      <c r="X376" s="51"/>
      <c r="Y376" s="51"/>
    </row>
    <row r="377" spans="22:25" x14ac:dyDescent="0.3">
      <c r="V377" s="49"/>
      <c r="W377" s="50"/>
      <c r="X377" s="51"/>
      <c r="Y377" s="51"/>
    </row>
  </sheetData>
  <mergeCells count="15">
    <mergeCell ref="D110:D115"/>
    <mergeCell ref="A64:A66"/>
    <mergeCell ref="C64:C66"/>
    <mergeCell ref="B78:B81"/>
    <mergeCell ref="A110:A111"/>
    <mergeCell ref="A112:A113"/>
    <mergeCell ref="A114:A115"/>
    <mergeCell ref="C110:C115"/>
    <mergeCell ref="A71:A73"/>
    <mergeCell ref="C71:C73"/>
    <mergeCell ref="A120:A121"/>
    <mergeCell ref="C120:C125"/>
    <mergeCell ref="D120:D125"/>
    <mergeCell ref="A122:A123"/>
    <mergeCell ref="A124:A12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8"/>
  <sheetViews>
    <sheetView workbookViewId="0">
      <selection activeCell="E10" sqref="E10"/>
    </sheetView>
  </sheetViews>
  <sheetFormatPr baseColWidth="10" defaultRowHeight="14.4" x14ac:dyDescent="0.3"/>
  <cols>
    <col min="1" max="1" width="18.44140625" bestFit="1" customWidth="1"/>
    <col min="3" max="3" width="20.5546875" customWidth="1"/>
    <col min="4" max="4" width="14.77734375" customWidth="1"/>
  </cols>
  <sheetData>
    <row r="1" spans="1:28" s="75" customFormat="1" ht="25.8" x14ac:dyDescent="0.5">
      <c r="A1" s="75" t="s">
        <v>113</v>
      </c>
    </row>
    <row r="2" spans="1:28" x14ac:dyDescent="0.3">
      <c r="A2" s="1" t="s">
        <v>12</v>
      </c>
    </row>
    <row r="3" spans="1:28" ht="15" thickBot="1" x14ac:dyDescent="0.35">
      <c r="A3" s="99" t="s">
        <v>152</v>
      </c>
    </row>
    <row r="4" spans="1:28" ht="15" thickBot="1" x14ac:dyDescent="0.35">
      <c r="B4" s="87" t="s">
        <v>2</v>
      </c>
      <c r="C4" s="88" t="s">
        <v>3</v>
      </c>
      <c r="D4" s="88">
        <v>1</v>
      </c>
      <c r="E4" s="88">
        <v>2</v>
      </c>
      <c r="F4" s="88">
        <v>3</v>
      </c>
      <c r="G4" s="88">
        <v>4</v>
      </c>
      <c r="H4" s="88">
        <v>5</v>
      </c>
      <c r="I4" s="88">
        <v>6</v>
      </c>
      <c r="J4" s="88">
        <v>7</v>
      </c>
      <c r="K4" s="88">
        <v>8</v>
      </c>
      <c r="L4" s="88">
        <v>9</v>
      </c>
      <c r="M4" s="88">
        <v>10</v>
      </c>
      <c r="N4" s="88">
        <v>11</v>
      </c>
      <c r="O4" s="88">
        <v>12</v>
      </c>
      <c r="P4" s="88">
        <v>13</v>
      </c>
      <c r="Q4" s="88">
        <v>14</v>
      </c>
      <c r="R4" s="88">
        <v>15</v>
      </c>
      <c r="S4" s="88">
        <v>16</v>
      </c>
      <c r="T4" s="88">
        <v>17</v>
      </c>
      <c r="U4" s="88">
        <v>18</v>
      </c>
      <c r="V4" s="88">
        <v>19</v>
      </c>
      <c r="W4" s="88">
        <v>20</v>
      </c>
      <c r="X4" s="88">
        <v>21</v>
      </c>
      <c r="Y4" s="88">
        <v>22</v>
      </c>
      <c r="Z4" s="88">
        <v>23</v>
      </c>
      <c r="AA4" s="88">
        <v>24</v>
      </c>
      <c r="AB4" s="89">
        <v>25</v>
      </c>
    </row>
    <row r="5" spans="1:28" ht="15" thickBot="1" x14ac:dyDescent="0.35">
      <c r="A5" s="2" t="s">
        <v>11</v>
      </c>
      <c r="B5" s="142" t="s">
        <v>181</v>
      </c>
      <c r="C5" s="78" t="s">
        <v>93</v>
      </c>
      <c r="D5" s="78">
        <v>1.30647819967879E-2</v>
      </c>
      <c r="E5" s="78">
        <v>1.1416903026816E-2</v>
      </c>
      <c r="F5" s="78">
        <v>1.8946935365995699E-3</v>
      </c>
      <c r="G5" s="78">
        <v>9.3660564108434697E-3</v>
      </c>
      <c r="H5" s="78">
        <v>1.15333932853073E-2</v>
      </c>
      <c r="I5" s="78">
        <v>0</v>
      </c>
      <c r="J5" s="78">
        <v>1.25431354315728E-2</v>
      </c>
      <c r="K5" s="78">
        <v>1.22696201568345E-3</v>
      </c>
      <c r="L5" s="78">
        <v>5.4750281749283303E-3</v>
      </c>
      <c r="M5" s="78">
        <v>5.3218815152273301E-3</v>
      </c>
      <c r="N5" s="78">
        <v>6.9787716839368298E-3</v>
      </c>
      <c r="O5" s="78">
        <v>3.5375444182892098E-3</v>
      </c>
      <c r="P5" s="78">
        <v>3.1840159056959901E-3</v>
      </c>
      <c r="Q5" s="78">
        <v>3.06091090057567E-3</v>
      </c>
      <c r="R5" s="78">
        <v>3.8602491334573099E-3</v>
      </c>
      <c r="S5" s="78">
        <v>5.6157766991836496E-3</v>
      </c>
      <c r="T5" s="78">
        <v>1.48144222289327E-2</v>
      </c>
      <c r="U5" s="78">
        <v>5.6984792557775296E-3</v>
      </c>
      <c r="V5" s="78">
        <v>0.27358790236929198</v>
      </c>
      <c r="W5" s="78">
        <v>1.70564545309112E-4</v>
      </c>
      <c r="X5" s="78">
        <v>8.8444139778660197E-3</v>
      </c>
      <c r="Y5" s="78">
        <v>3.1854540508933799E-2</v>
      </c>
      <c r="Z5" s="78">
        <v>2.1968385153891198E-2</v>
      </c>
      <c r="AA5" s="78">
        <v>1.0099212908989E-2</v>
      </c>
      <c r="AB5" s="78">
        <v>9.7807559530179496E-3</v>
      </c>
    </row>
    <row r="7" spans="1:28" x14ac:dyDescent="0.3">
      <c r="A7" s="1" t="s">
        <v>47</v>
      </c>
    </row>
    <row r="8" spans="1:28" ht="15" thickBot="1" x14ac:dyDescent="0.35">
      <c r="A8" s="99" t="s">
        <v>152</v>
      </c>
    </row>
    <row r="9" spans="1:28" ht="15" thickBot="1" x14ac:dyDescent="0.35">
      <c r="B9" s="52" t="s">
        <v>3</v>
      </c>
      <c r="C9" s="52" t="s">
        <v>44</v>
      </c>
    </row>
    <row r="10" spans="1:28" ht="28.8" x14ac:dyDescent="0.3">
      <c r="A10" s="17" t="s">
        <v>48</v>
      </c>
      <c r="B10" s="56" t="s">
        <v>94</v>
      </c>
      <c r="C10" s="56">
        <f>C11*C12*C13</f>
        <v>2080</v>
      </c>
    </row>
    <row r="11" spans="1:28" x14ac:dyDescent="0.3">
      <c r="A11" s="9" t="s">
        <v>49</v>
      </c>
      <c r="B11" s="57" t="s">
        <v>95</v>
      </c>
      <c r="C11" s="57">
        <v>8</v>
      </c>
    </row>
    <row r="12" spans="1:28" x14ac:dyDescent="0.3">
      <c r="A12" s="9" t="s">
        <v>50</v>
      </c>
      <c r="B12" s="57" t="s">
        <v>96</v>
      </c>
      <c r="C12" s="57">
        <v>5</v>
      </c>
    </row>
    <row r="13" spans="1:28" ht="15" thickBot="1" x14ac:dyDescent="0.35">
      <c r="A13" s="13" t="s">
        <v>51</v>
      </c>
      <c r="B13" s="58" t="s">
        <v>97</v>
      </c>
      <c r="C13" s="58">
        <v>52</v>
      </c>
    </row>
    <row r="15" spans="1:28" x14ac:dyDescent="0.3">
      <c r="A15" s="1" t="s">
        <v>52</v>
      </c>
    </row>
    <row r="16" spans="1:28" ht="15" thickBot="1" x14ac:dyDescent="0.35">
      <c r="A16" s="99" t="s">
        <v>152</v>
      </c>
    </row>
    <row r="17" spans="1:3" ht="15" thickBot="1" x14ac:dyDescent="0.35">
      <c r="B17" s="23" t="s">
        <v>3</v>
      </c>
      <c r="C17" s="52" t="s">
        <v>44</v>
      </c>
    </row>
    <row r="18" spans="1:3" ht="29.4" thickBot="1" x14ac:dyDescent="0.35">
      <c r="A18" s="55" t="s">
        <v>53</v>
      </c>
      <c r="B18" s="24" t="s">
        <v>14</v>
      </c>
      <c r="C18" s="69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selection activeCell="H21" sqref="H21"/>
    </sheetView>
  </sheetViews>
  <sheetFormatPr baseColWidth="10" defaultRowHeight="14.4" x14ac:dyDescent="0.3"/>
  <cols>
    <col min="1" max="1" width="57.21875" customWidth="1"/>
    <col min="2" max="2" width="25.109375" bestFit="1" customWidth="1"/>
    <col min="3" max="3" width="23.6640625" bestFit="1" customWidth="1"/>
  </cols>
  <sheetData>
    <row r="1" spans="1:4" s="75" customFormat="1" ht="25.8" x14ac:dyDescent="0.5">
      <c r="A1" s="75" t="s">
        <v>112</v>
      </c>
    </row>
    <row r="2" spans="1:4" x14ac:dyDescent="0.3">
      <c r="A2" s="1" t="s">
        <v>43</v>
      </c>
    </row>
    <row r="3" spans="1:4" ht="15" thickBot="1" x14ac:dyDescent="0.35">
      <c r="A3" s="99" t="s">
        <v>152</v>
      </c>
    </row>
    <row r="4" spans="1:4" ht="15" thickBot="1" x14ac:dyDescent="0.35">
      <c r="B4" s="65" t="s">
        <v>3</v>
      </c>
      <c r="C4" s="65" t="s">
        <v>44</v>
      </c>
    </row>
    <row r="5" spans="1:4" ht="16.5" customHeight="1" thickBot="1" x14ac:dyDescent="0.35">
      <c r="A5" s="2" t="s">
        <v>42</v>
      </c>
      <c r="B5" s="24" t="s">
        <v>14</v>
      </c>
      <c r="C5" s="53">
        <v>0.02</v>
      </c>
    </row>
    <row r="7" spans="1:4" x14ac:dyDescent="0.3">
      <c r="A7" s="1" t="s">
        <v>60</v>
      </c>
    </row>
    <row r="8" spans="1:4" ht="15" thickBot="1" x14ac:dyDescent="0.35">
      <c r="A8" s="99" t="s">
        <v>152</v>
      </c>
    </row>
    <row r="9" spans="1:4" ht="15" thickBot="1" x14ac:dyDescent="0.35">
      <c r="B9" s="87" t="s">
        <v>2</v>
      </c>
      <c r="C9" s="88" t="s">
        <v>3</v>
      </c>
      <c r="D9" s="89" t="s">
        <v>44</v>
      </c>
    </row>
    <row r="10" spans="1:4" ht="43.8" thickBot="1" x14ac:dyDescent="0.35">
      <c r="A10" s="17" t="s">
        <v>99</v>
      </c>
      <c r="B10" s="96" t="s">
        <v>184</v>
      </c>
      <c r="C10" s="96" t="s">
        <v>61</v>
      </c>
      <c r="D10" s="97">
        <v>75035</v>
      </c>
    </row>
    <row r="12" spans="1:4" x14ac:dyDescent="0.3">
      <c r="A12" s="1" t="s">
        <v>62</v>
      </c>
    </row>
    <row r="13" spans="1:4" ht="15" thickBot="1" x14ac:dyDescent="0.35">
      <c r="A13" s="99" t="s">
        <v>152</v>
      </c>
    </row>
    <row r="14" spans="1:4" ht="15" thickBot="1" x14ac:dyDescent="0.35">
      <c r="B14" s="87" t="s">
        <v>2</v>
      </c>
      <c r="C14" s="88" t="s">
        <v>3</v>
      </c>
      <c r="D14" s="89" t="s">
        <v>44</v>
      </c>
    </row>
    <row r="15" spans="1:4" ht="15" thickBot="1" x14ac:dyDescent="0.35">
      <c r="A15" s="17" t="s">
        <v>63</v>
      </c>
      <c r="B15" s="168" t="s">
        <v>98</v>
      </c>
      <c r="C15" s="96" t="s">
        <v>56</v>
      </c>
      <c r="D15" s="97">
        <v>0.1258</v>
      </c>
    </row>
    <row r="16" spans="1:4" ht="15" thickBot="1" x14ac:dyDescent="0.35">
      <c r="A16" s="13" t="s">
        <v>64</v>
      </c>
      <c r="B16" s="169"/>
      <c r="C16" s="42" t="s">
        <v>56</v>
      </c>
      <c r="D16" s="53">
        <v>3.8761999999999999</v>
      </c>
    </row>
  </sheetData>
  <mergeCells count="1">
    <mergeCell ref="B15:B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28"/>
  <sheetViews>
    <sheetView workbookViewId="0">
      <selection activeCell="B5" sqref="B5:B8"/>
    </sheetView>
  </sheetViews>
  <sheetFormatPr baseColWidth="10" defaultRowHeight="14.4" x14ac:dyDescent="0.3"/>
  <cols>
    <col min="1" max="1" width="26.44140625" customWidth="1"/>
    <col min="3" max="3" width="16.6640625" customWidth="1"/>
    <col min="4" max="4" width="11.77734375" bestFit="1" customWidth="1"/>
    <col min="5" max="6" width="17.33203125" customWidth="1"/>
    <col min="7" max="7" width="19.21875" bestFit="1" customWidth="1"/>
    <col min="8" max="8" width="20.44140625" bestFit="1" customWidth="1"/>
    <col min="9" max="9" width="13.5546875" bestFit="1" customWidth="1"/>
    <col min="10" max="10" width="15.6640625" bestFit="1" customWidth="1"/>
    <col min="11" max="11" width="15.5546875" bestFit="1" customWidth="1"/>
  </cols>
  <sheetData>
    <row r="1" spans="1:54" s="75" customFormat="1" ht="25.8" x14ac:dyDescent="0.5">
      <c r="A1" s="75" t="s">
        <v>111</v>
      </c>
    </row>
    <row r="2" spans="1:54" x14ac:dyDescent="0.3">
      <c r="A2" s="1" t="s">
        <v>33</v>
      </c>
    </row>
    <row r="3" spans="1:54" ht="15" thickBot="1" x14ac:dyDescent="0.35">
      <c r="A3" s="99" t="s">
        <v>152</v>
      </c>
    </row>
    <row r="4" spans="1:54" ht="15" thickBot="1" x14ac:dyDescent="0.35">
      <c r="B4" s="81" t="s">
        <v>2</v>
      </c>
      <c r="C4" s="87" t="s">
        <v>3</v>
      </c>
      <c r="D4" s="88">
        <v>1</v>
      </c>
      <c r="E4" s="88">
        <v>2</v>
      </c>
      <c r="F4" s="88">
        <v>3</v>
      </c>
      <c r="G4" s="88">
        <v>4</v>
      </c>
      <c r="H4" s="88">
        <v>5</v>
      </c>
      <c r="I4" s="88">
        <v>6</v>
      </c>
      <c r="J4" s="88">
        <v>7</v>
      </c>
      <c r="K4" s="88">
        <v>8</v>
      </c>
      <c r="L4" s="88">
        <v>9</v>
      </c>
      <c r="M4" s="88">
        <v>10</v>
      </c>
      <c r="N4" s="88">
        <v>11</v>
      </c>
      <c r="O4" s="88">
        <v>12</v>
      </c>
      <c r="P4" s="88">
        <v>13</v>
      </c>
      <c r="Q4" s="88">
        <v>14</v>
      </c>
      <c r="R4" s="88">
        <v>15</v>
      </c>
      <c r="S4" s="88">
        <v>16</v>
      </c>
      <c r="T4" s="88">
        <v>17</v>
      </c>
      <c r="U4" s="88">
        <v>18</v>
      </c>
      <c r="V4" s="88">
        <v>19</v>
      </c>
      <c r="W4" s="88">
        <v>20</v>
      </c>
      <c r="X4" s="88">
        <v>21</v>
      </c>
      <c r="Y4" s="88">
        <v>22</v>
      </c>
      <c r="Z4" s="88">
        <v>23</v>
      </c>
      <c r="AA4" s="88">
        <v>24</v>
      </c>
      <c r="AB4" s="89">
        <v>25</v>
      </c>
    </row>
    <row r="5" spans="1:54" ht="28.8" x14ac:dyDescent="0.3">
      <c r="A5" s="9" t="s">
        <v>100</v>
      </c>
      <c r="B5" s="170" t="s">
        <v>180</v>
      </c>
      <c r="C5" s="170" t="s">
        <v>101</v>
      </c>
      <c r="D5" s="95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49.287735392094902</v>
      </c>
      <c r="N5" s="7">
        <v>0</v>
      </c>
      <c r="O5" s="7">
        <v>0</v>
      </c>
      <c r="P5" s="7">
        <v>0</v>
      </c>
      <c r="Q5" s="7">
        <v>0</v>
      </c>
      <c r="R5" s="7">
        <v>1.3755207357203836</v>
      </c>
      <c r="S5" s="7">
        <v>3.8827785311835283</v>
      </c>
      <c r="T5" s="7">
        <v>1.7940061677914294</v>
      </c>
      <c r="U5" s="7">
        <v>7.6112335367745567</v>
      </c>
      <c r="V5" s="7">
        <v>0</v>
      </c>
      <c r="W5" s="7">
        <v>7.5355106342208699E-3</v>
      </c>
      <c r="X5" s="7">
        <v>0</v>
      </c>
      <c r="Y5" s="7">
        <v>0</v>
      </c>
      <c r="Z5" s="7">
        <v>0</v>
      </c>
      <c r="AA5" s="7">
        <v>0</v>
      </c>
      <c r="AB5" s="8">
        <v>0</v>
      </c>
    </row>
    <row r="6" spans="1:54" ht="28.8" x14ac:dyDescent="0.3">
      <c r="A6" s="9" t="s">
        <v>102</v>
      </c>
      <c r="B6" s="170"/>
      <c r="C6" s="170"/>
      <c r="D6" s="21">
        <v>1.0046978746023054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2">
        <v>0</v>
      </c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</row>
    <row r="7" spans="1:54" ht="28.8" x14ac:dyDescent="0.3">
      <c r="A7" s="9" t="s">
        <v>103</v>
      </c>
      <c r="B7" s="170"/>
      <c r="C7" s="170"/>
      <c r="D7" s="21">
        <v>0</v>
      </c>
      <c r="E7" s="11">
        <v>1.3200951558244494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2">
        <v>0</v>
      </c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</row>
    <row r="8" spans="1:54" ht="29.4" thickBot="1" x14ac:dyDescent="0.35">
      <c r="A8" s="13" t="s">
        <v>104</v>
      </c>
      <c r="B8" s="171"/>
      <c r="C8" s="171"/>
      <c r="D8" s="22">
        <v>4.3263260348920154E-2</v>
      </c>
      <c r="E8" s="15">
        <v>0.14347168154860224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6">
        <v>0</v>
      </c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</row>
    <row r="10" spans="1:54" x14ac:dyDescent="0.3">
      <c r="A10" s="1" t="s">
        <v>46</v>
      </c>
      <c r="B10" s="25"/>
    </row>
    <row r="11" spans="1:54" ht="15" thickBot="1" x14ac:dyDescent="0.35">
      <c r="A11" s="99" t="s">
        <v>152</v>
      </c>
    </row>
    <row r="12" spans="1:54" ht="15" thickBot="1" x14ac:dyDescent="0.35">
      <c r="A12" s="39"/>
      <c r="B12" s="81" t="s">
        <v>2</v>
      </c>
      <c r="C12" s="82" t="s">
        <v>3</v>
      </c>
      <c r="D12" s="88" t="s">
        <v>35</v>
      </c>
      <c r="E12" s="88" t="s">
        <v>117</v>
      </c>
      <c r="F12" s="88" t="s">
        <v>36</v>
      </c>
      <c r="G12" s="88" t="s">
        <v>37</v>
      </c>
      <c r="H12" s="88" t="s">
        <v>45</v>
      </c>
      <c r="I12" s="88" t="s">
        <v>38</v>
      </c>
      <c r="J12" s="88" t="s">
        <v>39</v>
      </c>
      <c r="K12" s="88" t="s">
        <v>40</v>
      </c>
      <c r="L12" s="89" t="s">
        <v>34</v>
      </c>
    </row>
    <row r="13" spans="1:54" x14ac:dyDescent="0.3">
      <c r="A13" s="26" t="s">
        <v>13</v>
      </c>
      <c r="B13" s="165" t="s">
        <v>105</v>
      </c>
      <c r="C13" s="172" t="s">
        <v>14</v>
      </c>
      <c r="D13" s="76">
        <v>1</v>
      </c>
      <c r="E13" s="54">
        <v>1</v>
      </c>
      <c r="F13" s="54">
        <v>1</v>
      </c>
      <c r="G13" s="54">
        <v>1</v>
      </c>
      <c r="H13" s="54">
        <v>1</v>
      </c>
      <c r="I13" s="54">
        <v>1</v>
      </c>
      <c r="J13" s="54">
        <v>1</v>
      </c>
      <c r="K13" s="54">
        <v>1</v>
      </c>
      <c r="L13" s="98">
        <v>1</v>
      </c>
    </row>
    <row r="14" spans="1:54" x14ac:dyDescent="0.3">
      <c r="A14" s="29" t="s">
        <v>15</v>
      </c>
      <c r="B14" s="166"/>
      <c r="C14" s="172"/>
      <c r="D14" s="76">
        <v>9</v>
      </c>
      <c r="E14" s="54">
        <v>9</v>
      </c>
      <c r="F14" s="54">
        <v>9</v>
      </c>
      <c r="G14" s="54">
        <v>8</v>
      </c>
      <c r="H14" s="54">
        <v>9</v>
      </c>
      <c r="I14" s="54">
        <v>6.5</v>
      </c>
      <c r="J14" s="54">
        <v>7</v>
      </c>
      <c r="K14" s="54">
        <v>9</v>
      </c>
      <c r="L14" s="33">
        <v>1</v>
      </c>
    </row>
    <row r="15" spans="1:54" x14ac:dyDescent="0.3">
      <c r="A15" s="29" t="s">
        <v>16</v>
      </c>
      <c r="B15" s="166"/>
      <c r="C15" s="172"/>
      <c r="D15" s="31">
        <v>1</v>
      </c>
      <c r="E15" s="32">
        <v>1</v>
      </c>
      <c r="F15" s="32">
        <v>1</v>
      </c>
      <c r="G15" s="32">
        <v>1</v>
      </c>
      <c r="H15" s="32">
        <v>1</v>
      </c>
      <c r="I15" s="32">
        <v>1</v>
      </c>
      <c r="J15" s="32">
        <v>1</v>
      </c>
      <c r="K15" s="32">
        <v>1</v>
      </c>
      <c r="L15" s="33">
        <v>1</v>
      </c>
    </row>
    <row r="16" spans="1:54" ht="15" thickBot="1" x14ac:dyDescent="0.35">
      <c r="A16" s="34" t="s">
        <v>17</v>
      </c>
      <c r="B16" s="167"/>
      <c r="C16" s="173"/>
      <c r="D16" s="36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8">
        <v>0</v>
      </c>
    </row>
    <row r="18" spans="1:13" x14ac:dyDescent="0.3">
      <c r="A18" s="127" t="s">
        <v>153</v>
      </c>
    </row>
    <row r="19" spans="1:13" ht="15" thickBot="1" x14ac:dyDescent="0.35">
      <c r="A19" s="99" t="s">
        <v>152</v>
      </c>
    </row>
    <row r="20" spans="1:13" ht="15" thickBot="1" x14ac:dyDescent="0.35">
      <c r="A20" s="39"/>
      <c r="B20" s="117" t="s">
        <v>119</v>
      </c>
      <c r="C20" s="118" t="s">
        <v>2</v>
      </c>
      <c r="D20" s="119" t="s">
        <v>3</v>
      </c>
      <c r="E20" s="103" t="s">
        <v>35</v>
      </c>
      <c r="F20" s="104" t="s">
        <v>154</v>
      </c>
      <c r="G20" s="104" t="s">
        <v>36</v>
      </c>
      <c r="H20" s="104" t="s">
        <v>37</v>
      </c>
      <c r="I20" s="104" t="s">
        <v>45</v>
      </c>
      <c r="J20" s="104" t="s">
        <v>38</v>
      </c>
      <c r="K20" s="104" t="s">
        <v>39</v>
      </c>
      <c r="L20" s="104" t="s">
        <v>40</v>
      </c>
      <c r="M20" s="105" t="s">
        <v>34</v>
      </c>
    </row>
    <row r="21" spans="1:13" ht="15" thickBot="1" x14ac:dyDescent="0.35">
      <c r="A21" s="111" t="s">
        <v>15</v>
      </c>
      <c r="B21" s="174" t="s">
        <v>155</v>
      </c>
      <c r="C21" s="175" t="s">
        <v>157</v>
      </c>
      <c r="D21" s="115" t="s">
        <v>14</v>
      </c>
      <c r="E21" s="120">
        <v>10</v>
      </c>
      <c r="F21" s="113">
        <v>10</v>
      </c>
      <c r="G21" s="113">
        <v>10</v>
      </c>
      <c r="H21" s="113">
        <v>10</v>
      </c>
      <c r="I21" s="113">
        <v>10</v>
      </c>
      <c r="J21" s="113">
        <v>11</v>
      </c>
      <c r="K21" s="113">
        <v>10</v>
      </c>
      <c r="L21" s="113">
        <v>10</v>
      </c>
      <c r="M21" s="121">
        <v>10</v>
      </c>
    </row>
    <row r="22" spans="1:13" ht="15" thickBot="1" x14ac:dyDescent="0.35">
      <c r="A22" s="122" t="s">
        <v>156</v>
      </c>
      <c r="B22" s="174"/>
      <c r="C22" s="175"/>
      <c r="D22" s="123" t="s">
        <v>14</v>
      </c>
      <c r="E22" s="124">
        <v>-1</v>
      </c>
      <c r="F22" s="125">
        <v>-1</v>
      </c>
      <c r="G22" s="125">
        <v>-1</v>
      </c>
      <c r="H22" s="128">
        <v>-1</v>
      </c>
      <c r="I22" s="125">
        <v>-1</v>
      </c>
      <c r="J22" s="129">
        <f>11100000*0.2</f>
        <v>2220000</v>
      </c>
      <c r="K22" s="125">
        <v>-1</v>
      </c>
      <c r="L22" s="125">
        <v>-1</v>
      </c>
      <c r="M22" s="126">
        <v>-1</v>
      </c>
    </row>
    <row r="25" spans="1:13" ht="15" customHeight="1" x14ac:dyDescent="0.3">
      <c r="A25" s="116" t="s">
        <v>171</v>
      </c>
    </row>
    <row r="26" spans="1:13" ht="15" thickBot="1" x14ac:dyDescent="0.35">
      <c r="A26" s="99" t="s">
        <v>152</v>
      </c>
    </row>
    <row r="27" spans="1:13" ht="14.25" customHeight="1" thickBot="1" x14ac:dyDescent="0.35">
      <c r="B27" s="104" t="s">
        <v>2</v>
      </c>
      <c r="C27" s="105" t="s">
        <v>3</v>
      </c>
      <c r="D27" s="103" t="s">
        <v>44</v>
      </c>
    </row>
    <row r="28" spans="1:13" ht="15" thickBot="1" x14ac:dyDescent="0.35">
      <c r="A28" s="135" t="s">
        <v>172</v>
      </c>
      <c r="B28" s="139" t="s">
        <v>173</v>
      </c>
      <c r="C28" s="136" t="s">
        <v>14</v>
      </c>
      <c r="D28" s="137">
        <v>0.03</v>
      </c>
      <c r="E28" s="138"/>
      <c r="F28" s="138"/>
      <c r="G28" s="138"/>
    </row>
  </sheetData>
  <mergeCells count="6">
    <mergeCell ref="C5:C8"/>
    <mergeCell ref="B13:B16"/>
    <mergeCell ref="C13:C16"/>
    <mergeCell ref="B21:B22"/>
    <mergeCell ref="C21:C22"/>
    <mergeCell ref="B5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925C-3CC6-4B56-BC03-CB60834D5017}">
  <dimension ref="A1:C7"/>
  <sheetViews>
    <sheetView workbookViewId="0">
      <selection activeCell="D5" sqref="D5"/>
    </sheetView>
  </sheetViews>
  <sheetFormatPr baseColWidth="10" defaultRowHeight="14.4" x14ac:dyDescent="0.3"/>
  <cols>
    <col min="1" max="1" width="24.109375" customWidth="1"/>
  </cols>
  <sheetData>
    <row r="1" spans="1:3" x14ac:dyDescent="0.3">
      <c r="A1" s="116" t="s">
        <v>158</v>
      </c>
    </row>
    <row r="2" spans="1:3" ht="15" thickBot="1" x14ac:dyDescent="0.35">
      <c r="A2" s="133" t="s">
        <v>152</v>
      </c>
    </row>
    <row r="3" spans="1:3" ht="15" thickBot="1" x14ac:dyDescent="0.35">
      <c r="B3" s="134" t="s">
        <v>3</v>
      </c>
      <c r="C3" s="134" t="s">
        <v>59</v>
      </c>
    </row>
    <row r="4" spans="1:3" ht="27.45" customHeight="1" x14ac:dyDescent="0.3">
      <c r="A4" s="106" t="s">
        <v>159</v>
      </c>
      <c r="B4" s="130" t="s">
        <v>163</v>
      </c>
      <c r="C4" s="100">
        <v>3</v>
      </c>
    </row>
    <row r="5" spans="1:3" ht="43.05" customHeight="1" x14ac:dyDescent="0.3">
      <c r="A5" s="108" t="s">
        <v>160</v>
      </c>
      <c r="B5" s="131" t="s">
        <v>165</v>
      </c>
      <c r="C5" s="101">
        <v>10</v>
      </c>
    </row>
    <row r="6" spans="1:3" ht="65.55" customHeight="1" thickBot="1" x14ac:dyDescent="0.35">
      <c r="A6" s="109" t="s">
        <v>161</v>
      </c>
      <c r="B6" s="132" t="s">
        <v>163</v>
      </c>
      <c r="C6" s="102">
        <v>2</v>
      </c>
    </row>
    <row r="7" spans="1:3" ht="55.5" customHeight="1" x14ac:dyDescent="0.3">
      <c r="A7" s="106" t="s">
        <v>162</v>
      </c>
      <c r="B7" s="130" t="s">
        <v>164</v>
      </c>
      <c r="C7" s="100">
        <v>0.29249999999999998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5"/>
  <sheetViews>
    <sheetView zoomScale="65" workbookViewId="0">
      <selection activeCell="E65" sqref="E65"/>
    </sheetView>
  </sheetViews>
  <sheetFormatPr baseColWidth="10" defaultRowHeight="14.4" x14ac:dyDescent="0.3"/>
  <cols>
    <col min="1" max="1" width="75" bestFit="1" customWidth="1"/>
    <col min="2" max="2" width="27.21875" customWidth="1"/>
  </cols>
  <sheetData>
    <row r="1" spans="1:2" ht="25.8" x14ac:dyDescent="0.5">
      <c r="A1" s="75" t="s">
        <v>110</v>
      </c>
    </row>
    <row r="2" spans="1:2" ht="15" thickBot="1" x14ac:dyDescent="0.35">
      <c r="A2" s="133" t="s">
        <v>169</v>
      </c>
    </row>
    <row r="3" spans="1:2" ht="15" thickBot="1" x14ac:dyDescent="0.35">
      <c r="B3" s="65" t="s">
        <v>106</v>
      </c>
    </row>
    <row r="4" spans="1:2" x14ac:dyDescent="0.3">
      <c r="A4" s="17" t="s">
        <v>167</v>
      </c>
      <c r="B4" s="74">
        <v>1</v>
      </c>
    </row>
    <row r="5" spans="1:2" x14ac:dyDescent="0.3">
      <c r="A5" s="9" t="s">
        <v>166</v>
      </c>
      <c r="B5" s="74">
        <v>0</v>
      </c>
    </row>
    <row r="6" spans="1:2" x14ac:dyDescent="0.3">
      <c r="A6" s="9" t="s">
        <v>168</v>
      </c>
      <c r="B6" s="74">
        <v>0</v>
      </c>
    </row>
    <row r="7" spans="1:2" x14ac:dyDescent="0.3">
      <c r="A7" s="9" t="s">
        <v>86</v>
      </c>
      <c r="B7" s="74">
        <v>1</v>
      </c>
    </row>
    <row r="8" spans="1:2" x14ac:dyDescent="0.3">
      <c r="A8" s="9" t="s">
        <v>70</v>
      </c>
      <c r="B8" s="74">
        <v>1</v>
      </c>
    </row>
    <row r="9" spans="1:2" x14ac:dyDescent="0.3">
      <c r="A9" s="9" t="s">
        <v>78</v>
      </c>
      <c r="B9" s="74">
        <v>1</v>
      </c>
    </row>
    <row r="10" spans="1:2" x14ac:dyDescent="0.3">
      <c r="A10" s="9" t="s">
        <v>68</v>
      </c>
      <c r="B10" s="74">
        <v>1</v>
      </c>
    </row>
    <row r="11" spans="1:2" x14ac:dyDescent="0.3">
      <c r="A11" s="9" t="s">
        <v>69</v>
      </c>
      <c r="B11" s="74">
        <v>1</v>
      </c>
    </row>
    <row r="12" spans="1:2" x14ac:dyDescent="0.3">
      <c r="A12" s="9" t="s">
        <v>71</v>
      </c>
      <c r="B12" s="74">
        <v>0</v>
      </c>
    </row>
    <row r="13" spans="1:2" x14ac:dyDescent="0.3">
      <c r="A13" s="9" t="s">
        <v>72</v>
      </c>
      <c r="B13" s="74">
        <v>0</v>
      </c>
    </row>
    <row r="14" spans="1:2" x14ac:dyDescent="0.3">
      <c r="A14" s="9" t="s">
        <v>73</v>
      </c>
      <c r="B14" s="74">
        <v>0</v>
      </c>
    </row>
    <row r="15" spans="1:2" x14ac:dyDescent="0.3">
      <c r="A15" s="9" t="s">
        <v>74</v>
      </c>
      <c r="B15" s="74">
        <v>0</v>
      </c>
    </row>
    <row r="16" spans="1:2" x14ac:dyDescent="0.3">
      <c r="A16" s="9" t="s">
        <v>75</v>
      </c>
      <c r="B16" s="74">
        <v>0</v>
      </c>
    </row>
    <row r="17" spans="1:2" x14ac:dyDescent="0.3">
      <c r="A17" s="9" t="s">
        <v>76</v>
      </c>
      <c r="B17" s="74">
        <v>0</v>
      </c>
    </row>
    <row r="18" spans="1:2" x14ac:dyDescent="0.3">
      <c r="A18" s="9" t="s">
        <v>77</v>
      </c>
      <c r="B18" s="74">
        <v>0</v>
      </c>
    </row>
    <row r="19" spans="1:2" x14ac:dyDescent="0.3">
      <c r="A19" s="9" t="s">
        <v>107</v>
      </c>
      <c r="B19" s="74">
        <v>1</v>
      </c>
    </row>
    <row r="20" spans="1:2" x14ac:dyDescent="0.3">
      <c r="A20" s="9" t="s">
        <v>108</v>
      </c>
      <c r="B20" s="74">
        <v>1</v>
      </c>
    </row>
    <row r="21" spans="1:2" ht="15" thickBot="1" x14ac:dyDescent="0.35">
      <c r="A21" s="13" t="s">
        <v>109</v>
      </c>
      <c r="B21" s="74">
        <v>1</v>
      </c>
    </row>
    <row r="23" spans="1:2" ht="15" thickBot="1" x14ac:dyDescent="0.35">
      <c r="A23" s="133" t="s">
        <v>179</v>
      </c>
    </row>
    <row r="24" spans="1:2" ht="15" thickBot="1" x14ac:dyDescent="0.35">
      <c r="B24" s="65" t="s">
        <v>106</v>
      </c>
    </row>
    <row r="25" spans="1:2" x14ac:dyDescent="0.3">
      <c r="A25" s="17" t="s">
        <v>167</v>
      </c>
      <c r="B25" s="140">
        <v>1</v>
      </c>
    </row>
    <row r="26" spans="1:2" x14ac:dyDescent="0.3">
      <c r="A26" s="9" t="s">
        <v>166</v>
      </c>
      <c r="B26" s="140">
        <v>1</v>
      </c>
    </row>
    <row r="27" spans="1:2" x14ac:dyDescent="0.3">
      <c r="A27" s="9" t="s">
        <v>168</v>
      </c>
      <c r="B27" s="140">
        <v>0</v>
      </c>
    </row>
    <row r="28" spans="1:2" x14ac:dyDescent="0.3">
      <c r="A28" s="9" t="s">
        <v>86</v>
      </c>
      <c r="B28" s="140">
        <v>1</v>
      </c>
    </row>
    <row r="29" spans="1:2" x14ac:dyDescent="0.3">
      <c r="A29" s="9" t="s">
        <v>70</v>
      </c>
      <c r="B29" s="140">
        <v>1</v>
      </c>
    </row>
    <row r="30" spans="1:2" x14ac:dyDescent="0.3">
      <c r="A30" s="9" t="s">
        <v>78</v>
      </c>
      <c r="B30" s="140">
        <v>1</v>
      </c>
    </row>
    <row r="31" spans="1:2" x14ac:dyDescent="0.3">
      <c r="A31" s="9" t="s">
        <v>68</v>
      </c>
      <c r="B31" s="140">
        <v>1</v>
      </c>
    </row>
    <row r="32" spans="1:2" x14ac:dyDescent="0.3">
      <c r="A32" s="9" t="s">
        <v>69</v>
      </c>
      <c r="B32" s="140">
        <v>1</v>
      </c>
    </row>
    <row r="33" spans="1:2" x14ac:dyDescent="0.3">
      <c r="A33" s="9" t="s">
        <v>71</v>
      </c>
      <c r="B33" s="140">
        <v>0</v>
      </c>
    </row>
    <row r="34" spans="1:2" x14ac:dyDescent="0.3">
      <c r="A34" s="9" t="s">
        <v>72</v>
      </c>
      <c r="B34" s="140">
        <v>0</v>
      </c>
    </row>
    <row r="35" spans="1:2" x14ac:dyDescent="0.3">
      <c r="A35" s="9" t="s">
        <v>73</v>
      </c>
      <c r="B35" s="140">
        <v>0</v>
      </c>
    </row>
    <row r="36" spans="1:2" x14ac:dyDescent="0.3">
      <c r="A36" s="9" t="s">
        <v>74</v>
      </c>
      <c r="B36" s="140">
        <v>0</v>
      </c>
    </row>
    <row r="37" spans="1:2" x14ac:dyDescent="0.3">
      <c r="A37" s="9" t="s">
        <v>75</v>
      </c>
      <c r="B37" s="140">
        <v>0</v>
      </c>
    </row>
    <row r="38" spans="1:2" x14ac:dyDescent="0.3">
      <c r="A38" s="9" t="s">
        <v>76</v>
      </c>
      <c r="B38" s="140">
        <v>0</v>
      </c>
    </row>
    <row r="39" spans="1:2" x14ac:dyDescent="0.3">
      <c r="A39" s="9" t="s">
        <v>77</v>
      </c>
      <c r="B39" s="140">
        <v>0</v>
      </c>
    </row>
    <row r="40" spans="1:2" x14ac:dyDescent="0.3">
      <c r="A40" s="9" t="s">
        <v>107</v>
      </c>
      <c r="B40" s="140">
        <v>1</v>
      </c>
    </row>
    <row r="41" spans="1:2" x14ac:dyDescent="0.3">
      <c r="A41" s="9" t="s">
        <v>108</v>
      </c>
      <c r="B41" s="140">
        <v>1</v>
      </c>
    </row>
    <row r="42" spans="1:2" ht="15" thickBot="1" x14ac:dyDescent="0.35">
      <c r="A42" s="13" t="s">
        <v>109</v>
      </c>
      <c r="B42" s="140">
        <v>1</v>
      </c>
    </row>
    <row r="45" spans="1:2" ht="15" thickBot="1" x14ac:dyDescent="0.35">
      <c r="A45" s="133" t="s">
        <v>178</v>
      </c>
    </row>
    <row r="46" spans="1:2" ht="15" thickBot="1" x14ac:dyDescent="0.35">
      <c r="B46" s="65" t="s">
        <v>106</v>
      </c>
    </row>
    <row r="47" spans="1:2" x14ac:dyDescent="0.3">
      <c r="A47" s="17" t="s">
        <v>167</v>
      </c>
      <c r="B47" s="140">
        <v>1</v>
      </c>
    </row>
    <row r="48" spans="1:2" x14ac:dyDescent="0.3">
      <c r="A48" s="9" t="s">
        <v>166</v>
      </c>
      <c r="B48" s="140">
        <v>0</v>
      </c>
    </row>
    <row r="49" spans="1:2" x14ac:dyDescent="0.3">
      <c r="A49" s="9" t="s">
        <v>168</v>
      </c>
      <c r="B49" s="140">
        <v>1</v>
      </c>
    </row>
    <row r="50" spans="1:2" x14ac:dyDescent="0.3">
      <c r="A50" s="9" t="s">
        <v>86</v>
      </c>
      <c r="B50" s="140">
        <v>1</v>
      </c>
    </row>
    <row r="51" spans="1:2" x14ac:dyDescent="0.3">
      <c r="A51" s="9" t="s">
        <v>70</v>
      </c>
      <c r="B51" s="140">
        <v>1</v>
      </c>
    </row>
    <row r="52" spans="1:2" x14ac:dyDescent="0.3">
      <c r="A52" s="9" t="s">
        <v>78</v>
      </c>
      <c r="B52" s="140">
        <v>1</v>
      </c>
    </row>
    <row r="53" spans="1:2" x14ac:dyDescent="0.3">
      <c r="A53" s="9" t="s">
        <v>68</v>
      </c>
      <c r="B53" s="140">
        <v>1</v>
      </c>
    </row>
    <row r="54" spans="1:2" x14ac:dyDescent="0.3">
      <c r="A54" s="9" t="s">
        <v>69</v>
      </c>
      <c r="B54" s="140">
        <v>1</v>
      </c>
    </row>
    <row r="55" spans="1:2" x14ac:dyDescent="0.3">
      <c r="A55" s="9" t="s">
        <v>71</v>
      </c>
      <c r="B55" s="140">
        <v>0</v>
      </c>
    </row>
    <row r="56" spans="1:2" x14ac:dyDescent="0.3">
      <c r="A56" s="9" t="s">
        <v>72</v>
      </c>
      <c r="B56" s="140">
        <v>0</v>
      </c>
    </row>
    <row r="57" spans="1:2" x14ac:dyDescent="0.3">
      <c r="A57" s="9" t="s">
        <v>73</v>
      </c>
      <c r="B57" s="140">
        <v>0</v>
      </c>
    </row>
    <row r="58" spans="1:2" x14ac:dyDescent="0.3">
      <c r="A58" s="9" t="s">
        <v>74</v>
      </c>
      <c r="B58" s="140">
        <v>0</v>
      </c>
    </row>
    <row r="59" spans="1:2" x14ac:dyDescent="0.3">
      <c r="A59" s="9" t="s">
        <v>75</v>
      </c>
      <c r="B59" s="140">
        <v>0</v>
      </c>
    </row>
    <row r="60" spans="1:2" x14ac:dyDescent="0.3">
      <c r="A60" s="9" t="s">
        <v>76</v>
      </c>
      <c r="B60" s="140">
        <v>0</v>
      </c>
    </row>
    <row r="61" spans="1:2" x14ac:dyDescent="0.3">
      <c r="A61" s="9" t="s">
        <v>77</v>
      </c>
      <c r="B61" s="140">
        <v>0</v>
      </c>
    </row>
    <row r="62" spans="1:2" x14ac:dyDescent="0.3">
      <c r="A62" s="9" t="s">
        <v>107</v>
      </c>
      <c r="B62" s="140">
        <v>1</v>
      </c>
    </row>
    <row r="63" spans="1:2" x14ac:dyDescent="0.3">
      <c r="A63" s="9" t="s">
        <v>108</v>
      </c>
      <c r="B63" s="140">
        <v>1</v>
      </c>
    </row>
    <row r="64" spans="1:2" ht="15" thickBot="1" x14ac:dyDescent="0.35">
      <c r="A64" s="13" t="s">
        <v>109</v>
      </c>
      <c r="B64" s="140">
        <v>1</v>
      </c>
    </row>
    <row r="66" spans="1:2" ht="15" thickBot="1" x14ac:dyDescent="0.35">
      <c r="A66" s="133" t="s">
        <v>177</v>
      </c>
    </row>
    <row r="67" spans="1:2" ht="15" thickBot="1" x14ac:dyDescent="0.35">
      <c r="B67" s="65" t="s">
        <v>106</v>
      </c>
    </row>
    <row r="68" spans="1:2" x14ac:dyDescent="0.3">
      <c r="A68" s="17" t="s">
        <v>167</v>
      </c>
      <c r="B68" s="140">
        <v>1</v>
      </c>
    </row>
    <row r="69" spans="1:2" x14ac:dyDescent="0.3">
      <c r="A69" s="9" t="s">
        <v>166</v>
      </c>
      <c r="B69" s="140">
        <v>1</v>
      </c>
    </row>
    <row r="70" spans="1:2" x14ac:dyDescent="0.3">
      <c r="A70" s="9" t="s">
        <v>168</v>
      </c>
      <c r="B70" s="140">
        <v>1</v>
      </c>
    </row>
    <row r="71" spans="1:2" x14ac:dyDescent="0.3">
      <c r="A71" s="9" t="s">
        <v>86</v>
      </c>
      <c r="B71" s="140">
        <v>1</v>
      </c>
    </row>
    <row r="72" spans="1:2" x14ac:dyDescent="0.3">
      <c r="A72" s="9" t="s">
        <v>70</v>
      </c>
      <c r="B72" s="140">
        <v>1</v>
      </c>
    </row>
    <row r="73" spans="1:2" x14ac:dyDescent="0.3">
      <c r="A73" s="9" t="s">
        <v>78</v>
      </c>
      <c r="B73" s="140">
        <v>1</v>
      </c>
    </row>
    <row r="74" spans="1:2" x14ac:dyDescent="0.3">
      <c r="A74" s="9" t="s">
        <v>68</v>
      </c>
      <c r="B74" s="140">
        <v>1</v>
      </c>
    </row>
    <row r="75" spans="1:2" x14ac:dyDescent="0.3">
      <c r="A75" s="9" t="s">
        <v>69</v>
      </c>
      <c r="B75" s="140">
        <v>1</v>
      </c>
    </row>
    <row r="76" spans="1:2" x14ac:dyDescent="0.3">
      <c r="A76" s="9" t="s">
        <v>71</v>
      </c>
      <c r="B76" s="140">
        <v>0</v>
      </c>
    </row>
    <row r="77" spans="1:2" x14ac:dyDescent="0.3">
      <c r="A77" s="9" t="s">
        <v>72</v>
      </c>
      <c r="B77" s="140">
        <v>0</v>
      </c>
    </row>
    <row r="78" spans="1:2" x14ac:dyDescent="0.3">
      <c r="A78" s="9" t="s">
        <v>73</v>
      </c>
      <c r="B78" s="140">
        <v>0</v>
      </c>
    </row>
    <row r="79" spans="1:2" x14ac:dyDescent="0.3">
      <c r="A79" s="9" t="s">
        <v>74</v>
      </c>
      <c r="B79" s="140">
        <v>0</v>
      </c>
    </row>
    <row r="80" spans="1:2" x14ac:dyDescent="0.3">
      <c r="A80" s="9" t="s">
        <v>75</v>
      </c>
      <c r="B80" s="140">
        <v>0</v>
      </c>
    </row>
    <row r="81" spans="1:2" x14ac:dyDescent="0.3">
      <c r="A81" s="9" t="s">
        <v>76</v>
      </c>
      <c r="B81" s="140">
        <v>0</v>
      </c>
    </row>
    <row r="82" spans="1:2" x14ac:dyDescent="0.3">
      <c r="A82" s="9" t="s">
        <v>77</v>
      </c>
      <c r="B82" s="140">
        <v>0</v>
      </c>
    </row>
    <row r="83" spans="1:2" x14ac:dyDescent="0.3">
      <c r="A83" s="9" t="s">
        <v>107</v>
      </c>
      <c r="B83" s="140">
        <v>1</v>
      </c>
    </row>
    <row r="84" spans="1:2" x14ac:dyDescent="0.3">
      <c r="A84" s="9" t="s">
        <v>108</v>
      </c>
      <c r="B84" s="140">
        <v>1</v>
      </c>
    </row>
    <row r="85" spans="1:2" ht="15" thickBot="1" x14ac:dyDescent="0.35">
      <c r="A85" s="13" t="s">
        <v>109</v>
      </c>
      <c r="B85" s="1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44</vt:i4>
      </vt:variant>
    </vt:vector>
  </HeadingPairs>
  <TitlesOfParts>
    <vt:vector size="53" baseType="lpstr">
      <vt:lpstr>Suppl.Table.1</vt:lpstr>
      <vt:lpstr>Suppl. Figures</vt:lpstr>
      <vt:lpstr>Population</vt:lpstr>
      <vt:lpstr>Economy</vt:lpstr>
      <vt:lpstr>Labour</vt:lpstr>
      <vt:lpstr>Energy</vt:lpstr>
      <vt:lpstr>Land</vt:lpstr>
      <vt:lpstr>Climate</vt:lpstr>
      <vt:lpstr>Switches</vt:lpstr>
      <vt:lpstr>A_MATRIX_2100</vt:lpstr>
      <vt:lpstr>ALPHA_DEPENDENT_POPULATION</vt:lpstr>
      <vt:lpstr>ALPHA_SUPPORTING_INDUSTRY</vt:lpstr>
      <vt:lpstr>ANNUAL_WORKING_HOURS</vt:lpstr>
      <vt:lpstr>BETA_0_EXTRACTION</vt:lpstr>
      <vt:lpstr>BETA_0_FORMAL_ECONOMY_TO_SUBSISTENCE</vt:lpstr>
      <vt:lpstr>BETA_1_EXTRACTION</vt:lpstr>
      <vt:lpstr>BETA_1_FORMAL_ECONOMY_TO_SUBSISTENCE</vt:lpstr>
      <vt:lpstr>BETA_1_SUBSISTENCE_TO_FORMAL_ECONOMY</vt:lpstr>
      <vt:lpstr>CAPITAL_INTENSITY_2100</vt:lpstr>
      <vt:lpstr>DESIRED_CONSUMPTION_GROWTH_RATE_SP</vt:lpstr>
      <vt:lpstr>INITIAL_RECOVERABLE_RESOURCES_OF_FOSSIL_FUELS</vt:lpstr>
      <vt:lpstr>MAXIMUM_PARTICIPATION_RATE_SP</vt:lpstr>
      <vt:lpstr>MAXIMUM_SHARE_OF_EXTRACTABLE_FOSSIL_FUEL_RESOURCES_PER_YEAR_SP</vt:lpstr>
      <vt:lpstr>PEXTRA_DEMAND_MP</vt:lpstr>
      <vt:lpstr>PEXTRA_LAND_MP</vt:lpstr>
      <vt:lpstr>PPRIORITY_DEMAND_MP</vt:lpstr>
      <vt:lpstr>PPRIORITY_LAND_MP</vt:lpstr>
      <vt:lpstr>PTYPE_DEMAND_MP</vt:lpstr>
      <vt:lpstr>PTYPE_LAND_MP</vt:lpstr>
      <vt:lpstr>PWIDTH_DEMAND_MP</vt:lpstr>
      <vt:lpstr>PWIDTH_LAND_MP</vt:lpstr>
      <vt:lpstr>Sensitivity_of_C_Uptake_to_Temperature</vt:lpstr>
      <vt:lpstr>Sensitivity_of_Methane_Emissions_to_Permafrost_and_Clathrate</vt:lpstr>
      <vt:lpstr>Sensitivity_of_Methane_Emissions_to_Temperature</vt:lpstr>
      <vt:lpstr>SWITCH_DAMAGES_ON_LABOUR_PRODUCTIVITY_BY_HEAT_SP</vt:lpstr>
      <vt:lpstr>SWITCH_DEPRECIATION_RATE_CAUSED_BY_CLIMATE_CHANGE_SP</vt:lpstr>
      <vt:lpstr>SWITCH_DEPRECIATION_RATE_CAUSED_BY_SEA_LEVEL_RISE_SP</vt:lpstr>
      <vt:lpstr>SWITCH_FOSSIL_FUELS_EXTRACTION_DIFFICULTY_FACTOR_SP</vt:lpstr>
      <vt:lpstr>SWITCH_FOSSIL_FUELS_RATIONING_SCARCITY_FACTOR</vt:lpstr>
      <vt:lpstr>SWITCH_GROWTH_SLOWDOWN_SP</vt:lpstr>
      <vt:lpstr>SWITCH_LABOUR_SCARCITY_FACTOR</vt:lpstr>
      <vt:lpstr>SWITCH_LAND_LOSS_CAUSED_BY_CLIMATE_CHANGE_SP</vt:lpstr>
      <vt:lpstr>SWITCH_LAND_SCARCITY_FACTOR_SP</vt:lpstr>
      <vt:lpstr>SWITCH_LOSSES_LABOUR_SUPPLY_BY_HEAT_SP</vt:lpstr>
      <vt:lpstr>SWITCH_OUTPUT_LOSS_FACTOR_SP</vt:lpstr>
      <vt:lpstr>SWITCH_SUBSISTENCE_LAND_INTENSITY_DUE_TO_CLIMATE_CHANGE_SP</vt:lpstr>
      <vt:lpstr>TARGET_CONSUMPTION_SHARE_1</vt:lpstr>
      <vt:lpstr>TARGET_CONSUMPTION_SHARE_2</vt:lpstr>
      <vt:lpstr>TARGET_CONSUMPTION_SHARE_3</vt:lpstr>
      <vt:lpstr>TARGET_LABOUR_INTENSITY</vt:lpstr>
      <vt:lpstr>TARGET_LAND_INTENSITIES_SP</vt:lpstr>
      <vt:lpstr>TARGET_SHARE_OF_EACH_SECTOR_IN_GOVERNMENT_CONSUMPTION_SP</vt:lpstr>
      <vt:lpstr>TARGET_SHARE_OF_EACH_SECTOR_IN_GROSS_FIXED_CAPITAL_FOMATION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LuisLlases</dc:creator>
  <cp:lastModifiedBy>ARTHUR HAOYU LAUER</cp:lastModifiedBy>
  <dcterms:created xsi:type="dcterms:W3CDTF">2015-06-05T18:17:20Z</dcterms:created>
  <dcterms:modified xsi:type="dcterms:W3CDTF">2025-11-15T22:49:22Z</dcterms:modified>
</cp:coreProperties>
</file>