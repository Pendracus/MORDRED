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1_MORDRED_PROJECT\3_model_exploitation_251028\PAPER2_SSPs\writing\"/>
    </mc:Choice>
  </mc:AlternateContent>
  <xr:revisionPtr revIDLastSave="0" documentId="13_ncr:1_{99EF83E8-D80C-45A5-9641-7E91DA1B175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mography" sheetId="1" r:id="rId1"/>
    <sheet name="Economy" sheetId="2" r:id="rId2"/>
    <sheet name="Labour" sheetId="3" r:id="rId3"/>
    <sheet name="Energy" sheetId="4" r:id="rId4"/>
    <sheet name="Land" sheetId="5" r:id="rId5"/>
    <sheet name="Stressors" sheetId="8" r:id="rId6"/>
    <sheet name="Climate" sheetId="6" r:id="rId7"/>
    <sheet name="Switches" sheetId="7" r:id="rId8"/>
  </sheets>
  <definedNames>
    <definedName name="OUTPUT_LOSSES_FACTOR">Economy!$D$212:$AB$212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3" i="5" l="1"/>
  <c r="D19" i="3" l="1"/>
  <c r="D217" i="2" l="1"/>
</calcChain>
</file>

<file path=xl/sharedStrings.xml><?xml version="1.0" encoding="utf-8"?>
<sst xmlns="http://schemas.openxmlformats.org/spreadsheetml/2006/main" count="664" uniqueCount="232">
  <si>
    <t>MOBILITY PARAMETERS BETWEEN SUBSISTENCE AND FORMAL ECONOMY</t>
  </si>
  <si>
    <t>Description</t>
  </si>
  <si>
    <t>Units</t>
  </si>
  <si>
    <t>Value</t>
  </si>
  <si>
    <t>Beta 1 subsistence to formal economy</t>
  </si>
  <si>
    <t>Parameters for calculating the ratio of population moving from subsistence to the formal economy and vice versa.</t>
  </si>
  <si>
    <t>Dmnl</t>
  </si>
  <si>
    <t>Beta 0 formal economy to subsistence</t>
  </si>
  <si>
    <t>Beta 1 formal economy to subsistence</t>
  </si>
  <si>
    <t>PARAMETERS URBANIZATION INDICATOR</t>
  </si>
  <si>
    <t>Alpha dependent population</t>
  </si>
  <si>
    <t>Alpha supporting industry</t>
  </si>
  <si>
    <t>CONSUMPTION GROWTH RATE</t>
  </si>
  <si>
    <t>High</t>
  </si>
  <si>
    <t>Medium</t>
  </si>
  <si>
    <t>Low</t>
  </si>
  <si>
    <t>Center</t>
  </si>
  <si>
    <t>Semiperiphery</t>
  </si>
  <si>
    <t>Periphery</t>
  </si>
  <si>
    <t>PARAMETERS ALLOCATE FINAL DEMAND</t>
  </si>
  <si>
    <t>Investment</t>
  </si>
  <si>
    <t>Government center</t>
  </si>
  <si>
    <t>Government semiperiphery</t>
  </si>
  <si>
    <t>Government periphery</t>
  </si>
  <si>
    <t>Consumption center high</t>
  </si>
  <si>
    <t>Consumption center medium</t>
  </si>
  <si>
    <t>Consumption center low</t>
  </si>
  <si>
    <t>Consumption semiperiphery high</t>
  </si>
  <si>
    <t>Consumption semiperiphery medium</t>
  </si>
  <si>
    <t>Consumption semiperiphery low</t>
  </si>
  <si>
    <t>Consumption periphery high</t>
  </si>
  <si>
    <t>Consumption periphery medium</t>
  </si>
  <si>
    <t>Consumption periphery low</t>
  </si>
  <si>
    <t>Ptype</t>
  </si>
  <si>
    <t>Parameters of the ALLOCATE function which is used to distribute total final demand by the different demand components.</t>
  </si>
  <si>
    <t>dmnl</t>
  </si>
  <si>
    <t>Ppriority</t>
  </si>
  <si>
    <t>Pwidth</t>
  </si>
  <si>
    <t>Pextra</t>
  </si>
  <si>
    <t>TARGET CONSUMPTION VECTOR HOUSEHOLDS</t>
  </si>
  <si>
    <t>RELATION 1</t>
  </si>
  <si>
    <t>Consumption share</t>
  </si>
  <si>
    <t>Consumption per capita</t>
  </si>
  <si>
    <t>RELATION 2</t>
  </si>
  <si>
    <t>RELATION 3</t>
  </si>
  <si>
    <t>TARGET CAPITAL INTENSITIES</t>
  </si>
  <si>
    <t>PARAMETERS ENERGY INTENSITY VARIATION IN SSP SCENARIOS</t>
  </si>
  <si>
    <t>Beta 1 ssp scenario</t>
  </si>
  <si>
    <t>Beta 2 ssp scenario</t>
  </si>
  <si>
    <t>Beta 3 ssp scenario</t>
  </si>
  <si>
    <t>DAMAGES IN CAPITAL STOCK DUE TO SLR</t>
  </si>
  <si>
    <t>Values</t>
  </si>
  <si>
    <t>Maximum depreciation rate caused by see level rise 2ºC</t>
  </si>
  <si>
    <t>Parameters of the Gaussian function marking an additional depreciation in the capital stock during a certain interval of years when 2, 3 and 4 degrees are exceeded.</t>
  </si>
  <si>
    <t>Sigma SLR</t>
  </si>
  <si>
    <t>SECTORAL SHARES OF DAMAGES IN CAPITAL STOCK</t>
  </si>
  <si>
    <t>WORLD_min</t>
  </si>
  <si>
    <t>WORLD_max</t>
  </si>
  <si>
    <t>ADDITIONAL GROSS FIXED CAPITAL FORMATION DUE TO SEA LEVEL RISE</t>
  </si>
  <si>
    <t>Additional GFCF due to see level rise</t>
  </si>
  <si>
    <t>mio€</t>
  </si>
  <si>
    <t>OUTPUT LOSSES FACTOR (CAPITAL, LABOUR AND LAND)</t>
  </si>
  <si>
    <t>INCREASE IN INPUT COEFFICIENTS A MATRIX DUE TO OUTPUT LOSSES</t>
  </si>
  <si>
    <t>factor</t>
  </si>
  <si>
    <t>alpha</t>
  </si>
  <si>
    <t>beta</t>
  </si>
  <si>
    <t>gamma</t>
  </si>
  <si>
    <t>A MATRIX 2100</t>
  </si>
  <si>
    <t>Share of total consumption corresponding to the different sectors according to households' consumption level.</t>
  </si>
  <si>
    <t>Sectors</t>
  </si>
  <si>
    <t>ANNUAL WORKING HOURS</t>
  </si>
  <si>
    <t>max hours per day</t>
  </si>
  <si>
    <t>max days per week</t>
  </si>
  <si>
    <t>MAXIMUM PARTICIPATION RATE</t>
  </si>
  <si>
    <t>Maximum participation rate</t>
  </si>
  <si>
    <t xml:space="preserve">LOSSES OF LABOR PRODUCTIVITY DUE TO HEAT </t>
  </si>
  <si>
    <t>LOSSES OF MAX LABOR SUPPLY DUE TO HEAT</t>
  </si>
  <si>
    <t xml:space="preserve"> </t>
  </si>
  <si>
    <t>share deadly heat days</t>
  </si>
  <si>
    <t>Demography scenario parameters take the same value for all SSP implementations.</t>
  </si>
  <si>
    <t>LIMITS TO THE EXTRACTION OF FOSSIL RESOURCES</t>
  </si>
  <si>
    <t>Maximum share of extractable fossil fuel resources per year</t>
  </si>
  <si>
    <t>RECOVERABLE RESOURCES IN 2019</t>
  </si>
  <si>
    <t>EJ</t>
  </si>
  <si>
    <t>Beta 0 extraction</t>
  </si>
  <si>
    <t>Beta 1 extraction</t>
  </si>
  <si>
    <t>TARGET LAND INTENSITIES</t>
  </si>
  <si>
    <t>PARAMETERS ALLOCATE LAND</t>
  </si>
  <si>
    <t>infrastructure</t>
  </si>
  <si>
    <t>shrub</t>
  </si>
  <si>
    <t>PARAMETERS PROTECTION LAND</t>
  </si>
  <si>
    <t>Amount of land protected</t>
  </si>
  <si>
    <t>TARGET SUBSISTENCE LAND INTENSITY</t>
  </si>
  <si>
    <t>Subsistence foodland intensity</t>
  </si>
  <si>
    <t>MAXIMUM GROWTH RATE OF LAND DEMAND FOR HUMAN USE</t>
  </si>
  <si>
    <t>Maximum growth rate</t>
  </si>
  <si>
    <t>LAND LOSS CLIMATE CHANGE</t>
  </si>
  <si>
    <t>km²</t>
  </si>
  <si>
    <t>FOODLAND LOSS CLIMATE CHANGE</t>
  </si>
  <si>
    <t>DAMAGE FACTOR ON SUBSISTENCE LAND INTENSITY</t>
  </si>
  <si>
    <t>km²/mio€</t>
  </si>
  <si>
    <t>Equilibrium climate sensitivity</t>
  </si>
  <si>
    <t>Reference Sensitivity of CH4 from Permafrost and Clathrate to Temperature</t>
  </si>
  <si>
    <t>Temperature Threshold for Methane Emissions from Permafrost and Clathrate</t>
  </si>
  <si>
    <t>Reference Sensitivity of C from Permafrost and Clathrate to Temperature</t>
  </si>
  <si>
    <t>Climate scenario parameters take the same value for all SSP implementations.</t>
  </si>
  <si>
    <t>Mt/Year/°C</t>
  </si>
  <si>
    <t>°C</t>
  </si>
  <si>
    <t>Gt C/Year/°C</t>
  </si>
  <si>
    <t>Switch SSP sectors variation factor</t>
  </si>
  <si>
    <t>Switch growth slowdown</t>
  </si>
  <si>
    <t>Switch labour scarcity factor</t>
  </si>
  <si>
    <t>Switch fossil fuels rationing scarcity factor</t>
  </si>
  <si>
    <t>Switch fossil fuels extraction difficulty factor</t>
  </si>
  <si>
    <t>Switch land scarcity factor</t>
  </si>
  <si>
    <t>Switch capital depreciation caused by climate change</t>
  </si>
  <si>
    <t>Switch damages by sea level rise</t>
  </si>
  <si>
    <t>Switch output loss factor</t>
  </si>
  <si>
    <t>Switch damages on labour productivity due to heat</t>
  </si>
  <si>
    <t>Switch labour supply losses by heat</t>
  </si>
  <si>
    <t>Switch land losses caused by climate change</t>
  </si>
  <si>
    <t>Switch subsistence land intensity due to climate change</t>
  </si>
  <si>
    <t>Switches take the same value for all SSP' implementations.</t>
  </si>
  <si>
    <t>Sensitivity of C uptake to temperature</t>
  </si>
  <si>
    <t>Sensitivity of CH4 emissions to temperature</t>
  </si>
  <si>
    <t>Sensitivity of CH4 emissions to permafrost and clathrate melting</t>
  </si>
  <si>
    <t>Value (1=feedback,0=no feedback)</t>
  </si>
  <si>
    <t>SSP2'</t>
  </si>
  <si>
    <t>SSP3'</t>
  </si>
  <si>
    <t>SSP5'</t>
  </si>
  <si>
    <t>Parameters take the same value for all SSP implementations in MORDRED.</t>
  </si>
  <si>
    <t>Same value for all SSP implementations</t>
  </si>
  <si>
    <t>SSP2''</t>
  </si>
  <si>
    <t>SSP3''</t>
  </si>
  <si>
    <t>SSP5''</t>
  </si>
  <si>
    <t>km²/person</t>
  </si>
  <si>
    <t>Scenario parameter takes the same value for all SSP implementations.</t>
  </si>
  <si>
    <t>Scenario parameter takes the same value for all SSP' implementations.</t>
  </si>
  <si>
    <t>Total foodland lost until 2100 due to river flooding</t>
  </si>
  <si>
    <t>Total foodland lost until 2100 due to temperature and humidity change</t>
  </si>
  <si>
    <t xml:space="preserve">SSP2' </t>
  </si>
  <si>
    <t xml:space="preserve">SSP3' </t>
  </si>
  <si>
    <t xml:space="preserve">SSP5' </t>
  </si>
  <si>
    <t>Scenario parameters take the same value for all SSP implementations.</t>
  </si>
  <si>
    <t>Building of dams to protect against flooding due to sea level rise.</t>
  </si>
  <si>
    <t>Switches take the same value for all SSP'' implementations.</t>
  </si>
  <si>
    <t>SSP2' and SSP2''</t>
  </si>
  <si>
    <t>SSP3' and SSP3''</t>
  </si>
  <si>
    <t>SSP5' and SSP5''</t>
  </si>
  <si>
    <t>SSP2', SSP2'', SSP5' and SSP5''</t>
  </si>
  <si>
    <t>SSP2'' and SSP3''</t>
  </si>
  <si>
    <t>CO2</t>
  </si>
  <si>
    <t>MtCO2/mio€</t>
  </si>
  <si>
    <t>CH4</t>
  </si>
  <si>
    <t>MtCH4/mio€</t>
  </si>
  <si>
    <t>N2O</t>
  </si>
  <si>
    <t>MtN2O/mio€</t>
  </si>
  <si>
    <t>SF6</t>
  </si>
  <si>
    <t>tonsSF6/mio€</t>
  </si>
  <si>
    <t>HFC</t>
  </si>
  <si>
    <t>tons/mio€</t>
  </si>
  <si>
    <t>PFC</t>
  </si>
  <si>
    <t>TARGET GREENHOUSE GAS EMISSIONS INTENSITY</t>
  </si>
  <si>
    <t>Switch endogenization of energy intensities</t>
  </si>
  <si>
    <t>Parameters for calculating urbanization indicator.</t>
  </si>
  <si>
    <t>Growth rate of per capita consumption by region and class.</t>
  </si>
  <si>
    <t>TARGET SECTORAL GOVERNMENT CONSUMPTION SHARE</t>
  </si>
  <si>
    <t>Share by sector</t>
  </si>
  <si>
    <t>Share of each sector in government consumption in 2100.</t>
  </si>
  <si>
    <t>TARGET SECTORAL GROSS FIXED CAPITAL FORMATION SHARE</t>
  </si>
  <si>
    <t>Share of each sector in gross fixed capital formation in 2100.</t>
  </si>
  <si>
    <t>Target capital intensity</t>
  </si>
  <si>
    <t>Capital intensity of sectors in 2100.</t>
  </si>
  <si>
    <t xml:space="preserve">These values are reached for 4°C of temperature increase. First row indicates lower end damage, second row upper end damage. For the scenario simulation, the lower end values are used. </t>
  </si>
  <si>
    <t>Loss factor</t>
  </si>
  <si>
    <t>Loss of productivity in agriculture when global average temperatures rise by 4°C above pre-industrial levels.</t>
  </si>
  <si>
    <t>Parameters regulating damage to agriculture in matrix A due to rising temperatures.</t>
  </si>
  <si>
    <t>Parameters for calculating the variation in the coefficients of matrix A corresponding to the consumption of intermediate goods produced by each energy sector.</t>
  </si>
  <si>
    <t>DEMOGRAPHY</t>
  </si>
  <si>
    <t>ECONOMY</t>
  </si>
  <si>
    <t>STRESSORS</t>
  </si>
  <si>
    <t>GHG emissions intensity in 2100.</t>
  </si>
  <si>
    <t>LABOUR</t>
  </si>
  <si>
    <t>TARGET LABOUR INTENSITIES</t>
  </si>
  <si>
    <t>Target labour intensity</t>
  </si>
  <si>
    <t>Labour intensities in year 2100.</t>
  </si>
  <si>
    <t>Mio h/Mio €</t>
  </si>
  <si>
    <t>Annual working hours per person</t>
  </si>
  <si>
    <t>Annual working hours per person during the simulation.</t>
  </si>
  <si>
    <t>h/person/year</t>
  </si>
  <si>
    <t>h/day</t>
  </si>
  <si>
    <t>days/week</t>
  </si>
  <si>
    <t>Weeks per year</t>
  </si>
  <si>
    <t>weeks/year</t>
  </si>
  <si>
    <t>Maximum participation rate of the working-age population.</t>
  </si>
  <si>
    <t>alpha D Lprod heat</t>
  </si>
  <si>
    <t>Parameters that regulate labour productivity loss due to temperature change.</t>
  </si>
  <si>
    <t>alpha D Lsupply</t>
  </si>
  <si>
    <t>Parameters regulating the reduction in work availability due to temperature increases.</t>
  </si>
  <si>
    <t>share low resistance workers</t>
  </si>
  <si>
    <t>ENERGY</t>
  </si>
  <si>
    <t>Maximum ratio of extractable fossil resources to total resources.</t>
  </si>
  <si>
    <t>Total Fossil Fuels (Oil + Gas + Coal)</t>
  </si>
  <si>
    <t>All fossil fuel resources.</t>
  </si>
  <si>
    <t>PARAMETERS OF EXTRACTION DIFFICULTY</t>
  </si>
  <si>
    <t>Parameters that regulate the increase in extraction difficulty as fossil resources become scarcer.</t>
  </si>
  <si>
    <t>Energy land</t>
  </si>
  <si>
    <t>Land intensities in year 2100.</t>
  </si>
  <si>
    <t>Food land</t>
  </si>
  <si>
    <t>Forest land</t>
  </si>
  <si>
    <t>Other land</t>
  </si>
  <si>
    <t>LAND</t>
  </si>
  <si>
    <t>Parameters of the Vensim ALLOCATE function which is used to distribute different land types.</t>
  </si>
  <si>
    <t>Parameters for land protection in the mechanism of land allocation.</t>
  </si>
  <si>
    <t>energy land</t>
  </si>
  <si>
    <t>food land capitalism</t>
  </si>
  <si>
    <t>food land subsistence</t>
  </si>
  <si>
    <t>forest land</t>
  </si>
  <si>
    <t>primary forest</t>
  </si>
  <si>
    <t>secondary forest</t>
  </si>
  <si>
    <t>other land</t>
  </si>
  <si>
    <t>Subsistence land intensity in year 2100.</t>
  </si>
  <si>
    <t>Maximum growth rate of land demand for human use.</t>
  </si>
  <si>
    <t>Land loss</t>
  </si>
  <si>
    <t>Loss of usable land when the global average temperature reaches an increase of 4°C above pre-industrial levels.</t>
  </si>
  <si>
    <t>Loss of foodland when the global average temperature reaches an increase of 4°C above pre-industrial levels.</t>
  </si>
  <si>
    <t>Total loss of foodland</t>
  </si>
  <si>
    <t>Damage parameter</t>
  </si>
  <si>
    <t>Parameter that regulates the increase in land intensity required for subsistence production as global temperatures rise.</t>
  </si>
  <si>
    <t>CLIMATE</t>
  </si>
  <si>
    <t>Scenario parameters of the climate module.</t>
  </si>
  <si>
    <t>SWITCHES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</si>
</sst>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name val="Calibri"/>
      <family val="2"/>
      <charset val="1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</font>
    <font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88402966399123"/>
        <bgColor rgb="FFBFBFBF"/>
      </patternFill>
    </fill>
    <fill>
      <patternFill patternType="solid">
        <fgColor theme="4" tint="0.79989013336588644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89013336588644"/>
        <bgColor rgb="FFE2F0D9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 wrapText="1"/>
    </xf>
    <xf numFmtId="0" fontId="0" fillId="3" borderId="7" xfId="0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vertical="center" wrapText="1"/>
    </xf>
    <xf numFmtId="0" fontId="0" fillId="3" borderId="11" xfId="0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vertical="center" wrapText="1"/>
    </xf>
    <xf numFmtId="0" fontId="0" fillId="3" borderId="15" xfId="0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2" fillId="2" borderId="19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/>
    </xf>
    <xf numFmtId="0" fontId="0" fillId="3" borderId="1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 wrapText="1"/>
    </xf>
    <xf numFmtId="0" fontId="3" fillId="3" borderId="39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12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2" fillId="4" borderId="0" xfId="0" applyFont="1" applyFill="1"/>
    <xf numFmtId="0" fontId="0" fillId="3" borderId="26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19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0" fillId="3" borderId="46" xfId="0" applyFill="1" applyBorder="1" applyAlignment="1">
      <alignment horizontal="center" vertical="center" wrapText="1"/>
    </xf>
    <xf numFmtId="0" fontId="0" fillId="3" borderId="47" xfId="0" applyFill="1" applyBorder="1" applyAlignment="1">
      <alignment horizontal="center" vertical="center" wrapText="1"/>
    </xf>
    <xf numFmtId="0" fontId="0" fillId="3" borderId="48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4" fillId="0" borderId="0" xfId="0" applyFont="1"/>
    <xf numFmtId="0" fontId="3" fillId="3" borderId="19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 wrapText="1"/>
    </xf>
    <xf numFmtId="0" fontId="0" fillId="3" borderId="15" xfId="0" applyFill="1" applyBorder="1" applyAlignment="1">
      <alignment vertical="center" wrapText="1"/>
    </xf>
    <xf numFmtId="0" fontId="0" fillId="3" borderId="32" xfId="0" applyFill="1" applyBorder="1" applyAlignment="1">
      <alignment vertical="center" wrapText="1"/>
    </xf>
    <xf numFmtId="0" fontId="0" fillId="3" borderId="37" xfId="0" applyFill="1" applyBorder="1" applyAlignment="1">
      <alignment vertical="center" wrapText="1"/>
    </xf>
    <xf numFmtId="0" fontId="0" fillId="3" borderId="11" xfId="0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5" borderId="12" xfId="0" applyFont="1" applyFill="1" applyBorder="1" applyAlignment="1">
      <alignment vertical="center" wrapText="1"/>
    </xf>
    <xf numFmtId="0" fontId="1" fillId="5" borderId="16" xfId="0" applyFont="1" applyFill="1" applyBorder="1" applyAlignment="1">
      <alignment vertical="center" wrapText="1"/>
    </xf>
    <xf numFmtId="0" fontId="0" fillId="3" borderId="44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2" fillId="2" borderId="23" xfId="0" applyFont="1" applyFill="1" applyBorder="1" applyAlignment="1">
      <alignment vertical="center" wrapText="1"/>
    </xf>
    <xf numFmtId="0" fontId="1" fillId="5" borderId="19" xfId="0" applyFont="1" applyFill="1" applyBorder="1" applyAlignment="1">
      <alignment horizontal="center"/>
    </xf>
    <xf numFmtId="0" fontId="0" fillId="3" borderId="23" xfId="0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30" xfId="0" applyFont="1" applyFill="1" applyBorder="1" applyAlignment="1">
      <alignment horizontal="center" vertical="center" wrapText="1"/>
    </xf>
    <xf numFmtId="0" fontId="3" fillId="7" borderId="24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 wrapText="1"/>
    </xf>
    <xf numFmtId="0" fontId="3" fillId="7" borderId="27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 wrapText="1"/>
    </xf>
    <xf numFmtId="0" fontId="3" fillId="7" borderId="29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30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1" fillId="0" borderId="0" xfId="0" applyFont="1"/>
    <xf numFmtId="0" fontId="1" fillId="5" borderId="3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9" xfId="0" applyFont="1" applyFill="1" applyBorder="1" applyAlignment="1">
      <alignment vertical="center"/>
    </xf>
    <xf numFmtId="0" fontId="0" fillId="6" borderId="37" xfId="0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5" borderId="8" xfId="0" applyFont="1" applyFill="1" applyBorder="1" applyAlignment="1">
      <alignment vertical="center" wrapText="1"/>
    </xf>
    <xf numFmtId="0" fontId="0" fillId="6" borderId="35" xfId="0" applyFill="1" applyBorder="1" applyAlignment="1">
      <alignment horizontal="center" vertical="center"/>
    </xf>
    <xf numFmtId="0" fontId="1" fillId="5" borderId="12" xfId="0" applyFont="1" applyFill="1" applyBorder="1" applyAlignment="1">
      <alignment vertical="center"/>
    </xf>
    <xf numFmtId="0" fontId="0" fillId="6" borderId="28" xfId="0" applyFill="1" applyBorder="1" applyAlignment="1">
      <alignment horizontal="center" vertical="center"/>
    </xf>
    <xf numFmtId="0" fontId="1" fillId="5" borderId="16" xfId="0" applyFont="1" applyFill="1" applyBorder="1" applyAlignment="1">
      <alignment vertical="center"/>
    </xf>
    <xf numFmtId="0" fontId="0" fillId="6" borderId="30" xfId="0" applyFill="1" applyBorder="1" applyAlignment="1">
      <alignment horizontal="center" vertical="center"/>
    </xf>
    <xf numFmtId="0" fontId="1" fillId="5" borderId="19" xfId="0" applyFont="1" applyFill="1" applyBorder="1" applyAlignment="1">
      <alignment vertical="center" wrapText="1"/>
    </xf>
    <xf numFmtId="0" fontId="0" fillId="6" borderId="32" xfId="0" applyFill="1" applyBorder="1" applyAlignment="1">
      <alignment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0" fillId="6" borderId="42" xfId="0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0" fontId="2" fillId="2" borderId="50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0" fillId="6" borderId="35" xfId="0" applyFill="1" applyBorder="1" applyAlignment="1">
      <alignment vertical="center" wrapText="1"/>
    </xf>
    <xf numFmtId="0" fontId="0" fillId="6" borderId="26" xfId="0" applyFill="1" applyBorder="1" applyAlignment="1">
      <alignment vertical="center" wrapText="1"/>
    </xf>
    <xf numFmtId="0" fontId="0" fillId="6" borderId="42" xfId="0" applyFill="1" applyBorder="1" applyAlignment="1">
      <alignment vertical="center" wrapText="1"/>
    </xf>
    <xf numFmtId="0" fontId="0" fillId="6" borderId="40" xfId="0" applyFill="1" applyBorder="1" applyAlignment="1">
      <alignment horizontal="left" vertical="center" wrapText="1"/>
    </xf>
    <xf numFmtId="0" fontId="3" fillId="3" borderId="47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/>
    </xf>
    <xf numFmtId="0" fontId="0" fillId="6" borderId="31" xfId="0" applyFill="1" applyBorder="1" applyAlignment="1">
      <alignment horizontal="left" vertical="center" wrapText="1"/>
    </xf>
    <xf numFmtId="0" fontId="0" fillId="6" borderId="32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59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/>
    </xf>
    <xf numFmtId="0" fontId="0" fillId="8" borderId="0" xfId="0" applyFill="1"/>
    <xf numFmtId="0" fontId="0" fillId="3" borderId="36" xfId="0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 wrapText="1"/>
    </xf>
    <xf numFmtId="0" fontId="0" fillId="6" borderId="26" xfId="0" applyFill="1" applyBorder="1" applyAlignment="1">
      <alignment horizontal="center" vertical="center"/>
    </xf>
    <xf numFmtId="0" fontId="1" fillId="5" borderId="9" xfId="0" applyFont="1" applyFill="1" applyBorder="1" applyAlignment="1">
      <alignment vertical="center" wrapText="1"/>
    </xf>
    <xf numFmtId="0" fontId="1" fillId="5" borderId="13" xfId="0" applyFont="1" applyFill="1" applyBorder="1" applyAlignment="1">
      <alignment vertical="center" wrapText="1"/>
    </xf>
    <xf numFmtId="0" fontId="7" fillId="0" borderId="0" xfId="0" applyFont="1"/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5" fillId="6" borderId="35" xfId="0" applyFont="1" applyFill="1" applyBorder="1" applyAlignment="1">
      <alignment horizontal="center" vertical="center" wrapText="1"/>
    </xf>
    <xf numFmtId="0" fontId="0" fillId="6" borderId="41" xfId="0" applyFill="1" applyBorder="1" applyAlignment="1">
      <alignment horizontal="left" vertical="center"/>
    </xf>
    <xf numFmtId="0" fontId="0" fillId="6" borderId="42" xfId="0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6" borderId="51" xfId="0" applyFill="1" applyBorder="1" applyAlignment="1">
      <alignment horizontal="left" vertical="center" wrapText="1"/>
    </xf>
    <xf numFmtId="0" fontId="0" fillId="6" borderId="37" xfId="0" applyFill="1" applyBorder="1" applyAlignment="1">
      <alignment horizontal="center" vertical="center" wrapText="1"/>
    </xf>
    <xf numFmtId="0" fontId="1" fillId="8" borderId="0" xfId="0" applyFont="1" applyFill="1"/>
    <xf numFmtId="0" fontId="0" fillId="6" borderId="41" xfId="0" applyFill="1" applyBorder="1" applyAlignment="1">
      <alignment horizontal="left" vertical="center" wrapText="1"/>
    </xf>
    <xf numFmtId="0" fontId="0" fillId="6" borderId="21" xfId="0" applyFill="1" applyBorder="1" applyAlignment="1">
      <alignment vertical="center" wrapText="1"/>
    </xf>
    <xf numFmtId="0" fontId="0" fillId="6" borderId="31" xfId="0" applyFill="1" applyBorder="1" applyAlignment="1">
      <alignment vertical="center" wrapText="1"/>
    </xf>
    <xf numFmtId="0" fontId="0" fillId="6" borderId="37" xfId="0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6" borderId="15" xfId="0" applyFill="1" applyBorder="1" applyAlignment="1">
      <alignment vertical="center" wrapText="1"/>
    </xf>
    <xf numFmtId="0" fontId="1" fillId="5" borderId="8" xfId="0" applyFont="1" applyFill="1" applyBorder="1" applyAlignment="1">
      <alignment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/>
    </xf>
    <xf numFmtId="0" fontId="1" fillId="5" borderId="13" xfId="0" applyFont="1" applyFill="1" applyBorder="1" applyAlignment="1">
      <alignment vertical="center"/>
    </xf>
    <xf numFmtId="0" fontId="0" fillId="3" borderId="36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37" xfId="0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0" fillId="3" borderId="31" xfId="0" applyFill="1" applyBorder="1" applyAlignment="1">
      <alignment horizontal="left" vertical="center" wrapText="1"/>
    </xf>
    <xf numFmtId="0" fontId="0" fillId="6" borderId="57" xfId="0" applyFill="1" applyBorder="1" applyAlignment="1">
      <alignment horizontal="left" vertical="center" wrapText="1"/>
    </xf>
    <xf numFmtId="0" fontId="0" fillId="6" borderId="40" xfId="0" applyFill="1" applyBorder="1" applyAlignment="1">
      <alignment horizontal="left" vertical="center" wrapText="1"/>
    </xf>
    <xf numFmtId="0" fontId="0" fillId="6" borderId="56" xfId="0" applyFill="1" applyBorder="1" applyAlignment="1">
      <alignment horizontal="left" vertical="center" wrapText="1"/>
    </xf>
    <xf numFmtId="0" fontId="0" fillId="6" borderId="49" xfId="0" applyFill="1" applyBorder="1" applyAlignment="1">
      <alignment horizontal="left" vertical="center" wrapText="1"/>
    </xf>
    <xf numFmtId="0" fontId="0" fillId="6" borderId="45" xfId="0" applyFill="1" applyBorder="1" applyAlignment="1">
      <alignment horizontal="left" vertical="center" wrapText="1"/>
    </xf>
    <xf numFmtId="0" fontId="0" fillId="6" borderId="41" xfId="0" applyFill="1" applyBorder="1" applyAlignment="1">
      <alignment horizontal="left" vertical="center" wrapText="1"/>
    </xf>
    <xf numFmtId="0" fontId="0" fillId="6" borderId="52" xfId="0" applyFill="1" applyBorder="1" applyAlignment="1">
      <alignment horizontal="center" vertical="center" wrapText="1"/>
    </xf>
    <xf numFmtId="0" fontId="0" fillId="6" borderId="53" xfId="0" applyFill="1" applyBorder="1" applyAlignment="1">
      <alignment horizontal="center" vertical="center" wrapText="1"/>
    </xf>
    <xf numFmtId="0" fontId="0" fillId="6" borderId="42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43" xfId="0" applyFill="1" applyBorder="1" applyAlignment="1">
      <alignment horizontal="left" vertical="center" wrapText="1"/>
    </xf>
    <xf numFmtId="0" fontId="0" fillId="6" borderId="60" xfId="0" applyFill="1" applyBorder="1" applyAlignment="1">
      <alignment horizontal="left" vertical="center" wrapText="1"/>
    </xf>
    <xf numFmtId="0" fontId="0" fillId="6" borderId="57" xfId="0" applyFill="1" applyBorder="1" applyAlignment="1">
      <alignment horizontal="left" vertical="top" wrapText="1"/>
    </xf>
    <xf numFmtId="0" fontId="0" fillId="6" borderId="40" xfId="0" applyFill="1" applyBorder="1" applyAlignment="1">
      <alignment horizontal="left" vertical="top" wrapText="1"/>
    </xf>
    <xf numFmtId="0" fontId="0" fillId="6" borderId="35" xfId="0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6" borderId="52" xfId="0" applyFill="1" applyBorder="1" applyAlignment="1">
      <alignment horizontal="center" vertical="center"/>
    </xf>
    <xf numFmtId="0" fontId="0" fillId="6" borderId="53" xfId="0" applyFill="1" applyBorder="1" applyAlignment="1">
      <alignment horizontal="center" vertical="center"/>
    </xf>
    <xf numFmtId="0" fontId="0" fillId="6" borderId="42" xfId="0" applyFill="1" applyBorder="1" applyAlignment="1">
      <alignment horizontal="center" vertical="center"/>
    </xf>
    <xf numFmtId="0" fontId="0" fillId="6" borderId="17" xfId="0" applyFill="1" applyBorder="1" applyAlignment="1">
      <alignment horizontal="left" vertical="center" wrapText="1"/>
    </xf>
    <xf numFmtId="0" fontId="0" fillId="6" borderId="33" xfId="0" applyFill="1" applyBorder="1" applyAlignment="1">
      <alignment horizontal="left" vertical="center" wrapText="1"/>
    </xf>
    <xf numFmtId="0" fontId="0" fillId="6" borderId="18" xfId="0" applyFill="1" applyBorder="1" applyAlignment="1">
      <alignment horizontal="left" vertical="center" wrapText="1"/>
    </xf>
    <xf numFmtId="0" fontId="0" fillId="6" borderId="25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6" borderId="14" xfId="0" applyFill="1" applyBorder="1" applyAlignment="1">
      <alignment horizontal="left" vertical="center" wrapText="1"/>
    </xf>
    <xf numFmtId="0" fontId="0" fillId="6" borderId="61" xfId="0" applyFill="1" applyBorder="1" applyAlignment="1">
      <alignment horizontal="center" vertical="center"/>
    </xf>
    <xf numFmtId="0" fontId="0" fillId="6" borderId="62" xfId="0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5" fillId="6" borderId="14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/>
  </sheetViews>
  <sheetFormatPr baseColWidth="10" defaultColWidth="8.77734375" defaultRowHeight="14.4" x14ac:dyDescent="0.3"/>
  <cols>
    <col min="1" max="1" width="17.33203125" customWidth="1"/>
    <col min="2" max="2" width="40.5546875" customWidth="1"/>
  </cols>
  <sheetData>
    <row r="1" spans="1:4" ht="25.8" x14ac:dyDescent="0.5">
      <c r="A1" s="166" t="s">
        <v>178</v>
      </c>
    </row>
    <row r="3" spans="1:4" x14ac:dyDescent="0.3">
      <c r="A3" s="76" t="s">
        <v>79</v>
      </c>
    </row>
    <row r="4" spans="1:4" x14ac:dyDescent="0.3">
      <c r="A4" s="76"/>
    </row>
    <row r="5" spans="1:4" ht="15" thickBot="1" x14ac:dyDescent="0.35">
      <c r="A5" s="1" t="s">
        <v>0</v>
      </c>
    </row>
    <row r="6" spans="1:4" ht="15" thickBot="1" x14ac:dyDescent="0.35">
      <c r="B6" s="17" t="s">
        <v>1</v>
      </c>
      <c r="C6" s="16" t="s">
        <v>2</v>
      </c>
      <c r="D6" s="65" t="s">
        <v>3</v>
      </c>
    </row>
    <row r="7" spans="1:4" ht="27.75" customHeight="1" thickBot="1" x14ac:dyDescent="0.35">
      <c r="A7" s="13" t="s">
        <v>4</v>
      </c>
      <c r="B7" s="188" t="s">
        <v>5</v>
      </c>
      <c r="C7" s="5" t="s">
        <v>6</v>
      </c>
      <c r="D7" s="6">
        <v>6.85871056241427E-4</v>
      </c>
    </row>
    <row r="8" spans="1:4" ht="27.75" customHeight="1" thickBot="1" x14ac:dyDescent="0.35">
      <c r="A8" s="22" t="s">
        <v>7</v>
      </c>
      <c r="B8" s="188"/>
      <c r="C8" s="8" t="s">
        <v>6</v>
      </c>
      <c r="D8" s="9">
        <v>5.5</v>
      </c>
    </row>
    <row r="9" spans="1:4" ht="27.75" customHeight="1" thickBot="1" x14ac:dyDescent="0.35">
      <c r="A9" s="14" t="s">
        <v>8</v>
      </c>
      <c r="B9" s="188"/>
      <c r="C9" s="11" t="s">
        <v>6</v>
      </c>
      <c r="D9" s="12">
        <v>6.8587105624142598E-3</v>
      </c>
    </row>
    <row r="10" spans="1:4" ht="14.25" customHeight="1" x14ac:dyDescent="0.3"/>
    <row r="11" spans="1:4" ht="15" thickBot="1" x14ac:dyDescent="0.35">
      <c r="A11" s="1" t="s">
        <v>9</v>
      </c>
    </row>
    <row r="12" spans="1:4" ht="15" thickBot="1" x14ac:dyDescent="0.35">
      <c r="B12" s="17" t="s">
        <v>1</v>
      </c>
      <c r="C12" s="16" t="s">
        <v>2</v>
      </c>
      <c r="D12" s="65" t="s">
        <v>3</v>
      </c>
    </row>
    <row r="13" spans="1:4" ht="14.25" customHeight="1" thickBot="1" x14ac:dyDescent="0.35">
      <c r="A13" s="13" t="s">
        <v>10</v>
      </c>
      <c r="B13" s="189" t="s">
        <v>164</v>
      </c>
      <c r="C13" s="5" t="s">
        <v>6</v>
      </c>
      <c r="D13" s="6">
        <v>2.5</v>
      </c>
    </row>
    <row r="14" spans="1:4" ht="29.4" thickBot="1" x14ac:dyDescent="0.35">
      <c r="A14" s="14" t="s">
        <v>11</v>
      </c>
      <c r="B14" s="189"/>
      <c r="C14" s="11" t="s">
        <v>6</v>
      </c>
      <c r="D14" s="12">
        <v>1.2</v>
      </c>
    </row>
  </sheetData>
  <mergeCells count="2">
    <mergeCell ref="B7:B9"/>
    <mergeCell ref="B13:B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7C8D1-A98A-48B0-A41B-6D20E7AAFC13}">
  <dimension ref="A1:AC255"/>
  <sheetViews>
    <sheetView tabSelected="1" topLeftCell="A165" zoomScaleNormal="100" workbookViewId="0">
      <selection activeCell="C183" sqref="C183"/>
    </sheetView>
  </sheetViews>
  <sheetFormatPr baseColWidth="10" defaultRowHeight="14.4" x14ac:dyDescent="0.3"/>
  <cols>
    <col min="1" max="1" width="23.21875" customWidth="1"/>
    <col min="2" max="3" width="27.109375" customWidth="1"/>
    <col min="6" max="10" width="16.109375" customWidth="1"/>
    <col min="11" max="11" width="20.109375" customWidth="1"/>
    <col min="12" max="12" width="22.77734375" customWidth="1"/>
    <col min="13" max="13" width="21.109375" customWidth="1"/>
    <col min="14" max="14" width="16.109375" customWidth="1"/>
    <col min="15" max="15" width="17.88671875" customWidth="1"/>
    <col min="16" max="16" width="16.109375" customWidth="1"/>
  </cols>
  <sheetData>
    <row r="1" spans="1:26" ht="25.8" x14ac:dyDescent="0.5">
      <c r="A1" s="166" t="s">
        <v>179</v>
      </c>
    </row>
    <row r="3" spans="1:26" x14ac:dyDescent="0.3">
      <c r="A3" s="1" t="s">
        <v>67</v>
      </c>
    </row>
    <row r="4" spans="1:26" ht="14.25" customHeight="1" thickBot="1" x14ac:dyDescent="0.35">
      <c r="A4" s="76" t="s">
        <v>146</v>
      </c>
    </row>
    <row r="5" spans="1:26" ht="15" thickBot="1" x14ac:dyDescent="0.35">
      <c r="A5" s="133" t="s">
        <v>69</v>
      </c>
      <c r="B5" s="16">
        <v>1</v>
      </c>
      <c r="C5" s="16">
        <v>2</v>
      </c>
      <c r="D5" s="16">
        <v>3</v>
      </c>
      <c r="E5" s="16">
        <v>4</v>
      </c>
      <c r="F5" s="16">
        <v>5</v>
      </c>
      <c r="G5" s="16">
        <v>6</v>
      </c>
      <c r="H5" s="16">
        <v>7</v>
      </c>
      <c r="I5" s="16">
        <v>8</v>
      </c>
      <c r="J5" s="16">
        <v>9</v>
      </c>
      <c r="K5" s="16">
        <v>10</v>
      </c>
      <c r="L5" s="16">
        <v>11</v>
      </c>
      <c r="M5" s="16">
        <v>12</v>
      </c>
      <c r="N5" s="16">
        <v>13</v>
      </c>
      <c r="O5" s="16">
        <v>14</v>
      </c>
      <c r="P5" s="16">
        <v>15</v>
      </c>
      <c r="Q5" s="16">
        <v>16</v>
      </c>
      <c r="R5" s="16">
        <v>17</v>
      </c>
      <c r="S5" s="16">
        <v>18</v>
      </c>
      <c r="T5" s="17">
        <v>19</v>
      </c>
      <c r="U5" s="16">
        <v>20</v>
      </c>
      <c r="V5" s="16">
        <v>21</v>
      </c>
      <c r="W5" s="16">
        <v>22</v>
      </c>
      <c r="X5" s="16">
        <v>23</v>
      </c>
      <c r="Y5" s="16">
        <v>24</v>
      </c>
      <c r="Z5" s="18">
        <v>25</v>
      </c>
    </row>
    <row r="6" spans="1:26" x14ac:dyDescent="0.3">
      <c r="A6" s="3">
        <v>1</v>
      </c>
      <c r="B6" s="19">
        <v>0.366764437067015</v>
      </c>
      <c r="C6" s="20">
        <v>5.6936153557802599E-2</v>
      </c>
      <c r="D6" s="20">
        <v>3.4429440165578101E-3</v>
      </c>
      <c r="E6" s="20">
        <v>1.0136938011790201E-2</v>
      </c>
      <c r="F6" s="20">
        <v>6.1847568492036896E-3</v>
      </c>
      <c r="G6" s="20">
        <v>0</v>
      </c>
      <c r="H6" s="20">
        <v>1.6316377907308402E-2</v>
      </c>
      <c r="I6" s="20">
        <v>5.0141643913594099E-3</v>
      </c>
      <c r="J6" s="20">
        <v>3.78155857829022E-2</v>
      </c>
      <c r="K6" s="20">
        <v>3.5500921793597498E-2</v>
      </c>
      <c r="L6" s="20">
        <v>3.3938254570127701E-3</v>
      </c>
      <c r="M6" s="20">
        <v>5.38787293918256E-3</v>
      </c>
      <c r="N6" s="20">
        <v>2.7798432323902201E-3</v>
      </c>
      <c r="O6" s="20">
        <v>5.0381707423904397E-3</v>
      </c>
      <c r="P6" s="20">
        <v>1.433003571615E-2</v>
      </c>
      <c r="Q6" s="20">
        <v>1.80520831719681E-2</v>
      </c>
      <c r="R6" s="20">
        <v>1.2001255766510699E-2</v>
      </c>
      <c r="S6" s="20">
        <v>5.6387895162083701E-4</v>
      </c>
      <c r="T6" s="20">
        <v>4.17798119185452E-3</v>
      </c>
      <c r="U6" s="20">
        <v>1.93280779894325E-3</v>
      </c>
      <c r="V6" s="20">
        <v>9.6009390723815202E-3</v>
      </c>
      <c r="W6" s="20">
        <v>6.8781522715970602E-3</v>
      </c>
      <c r="X6" s="20">
        <v>1.8393202038955399E-2</v>
      </c>
      <c r="Y6" s="20">
        <v>8.3612088645359101E-3</v>
      </c>
      <c r="Z6" s="21">
        <v>5.6125556400721203E-3</v>
      </c>
    </row>
    <row r="7" spans="1:26" ht="14.55" customHeight="1" x14ac:dyDescent="0.3">
      <c r="A7" s="134">
        <v>2</v>
      </c>
      <c r="B7" s="23">
        <v>1.04732142425419E-2</v>
      </c>
      <c r="C7" s="24">
        <v>0.32533491598964098</v>
      </c>
      <c r="D7" s="24">
        <v>1.1274200567743199E-3</v>
      </c>
      <c r="E7" s="24">
        <v>3.6428530507204501E-3</v>
      </c>
      <c r="F7" s="24">
        <v>1.1908302211003099E-2</v>
      </c>
      <c r="G7" s="24">
        <v>0</v>
      </c>
      <c r="H7" s="24">
        <v>6.5031859364341879E-3</v>
      </c>
      <c r="I7" s="24">
        <v>8.0281680797446796E-4</v>
      </c>
      <c r="J7" s="24">
        <v>2.91293409170361E-2</v>
      </c>
      <c r="K7" s="24">
        <v>1.09827113608068E-2</v>
      </c>
      <c r="L7" s="24">
        <v>1.1185089989074099E-2</v>
      </c>
      <c r="M7" s="24">
        <v>2.7317750252387999E-3</v>
      </c>
      <c r="N7" s="24">
        <v>1.28259747826954E-3</v>
      </c>
      <c r="O7" s="24">
        <v>4.3773198457663998E-3</v>
      </c>
      <c r="P7" s="24">
        <v>1.71678681885088E-3</v>
      </c>
      <c r="Q7" s="24">
        <v>9.0282009988773906E-3</v>
      </c>
      <c r="R7" s="24">
        <v>7.6668994737295899E-3</v>
      </c>
      <c r="S7" s="24">
        <v>4.9298127979361599E-4</v>
      </c>
      <c r="T7" s="24">
        <v>2.52991793737436E-3</v>
      </c>
      <c r="U7" s="24">
        <v>1.9467408261539601E-3</v>
      </c>
      <c r="V7" s="24">
        <v>3.1147483776872101E-3</v>
      </c>
      <c r="W7" s="24">
        <v>3.5739834279721601E-3</v>
      </c>
      <c r="X7" s="24">
        <v>1.0387486423615099E-2</v>
      </c>
      <c r="Y7" s="24">
        <v>6.4463070778641701E-3</v>
      </c>
      <c r="Z7" s="25">
        <v>4.7815925112398502E-3</v>
      </c>
    </row>
    <row r="8" spans="1:26" x14ac:dyDescent="0.3">
      <c r="A8" s="134">
        <v>3</v>
      </c>
      <c r="B8" s="23">
        <v>7.9741414354581302E-3</v>
      </c>
      <c r="C8" s="24">
        <v>1.2601759445447201E-2</v>
      </c>
      <c r="D8" s="24">
        <v>0.22785240532556886</v>
      </c>
      <c r="E8" s="24">
        <v>3.1503626413804303E-2</v>
      </c>
      <c r="F8" s="24">
        <v>1.9068631619191125E-2</v>
      </c>
      <c r="G8" s="24">
        <v>0</v>
      </c>
      <c r="H8" s="24">
        <v>4.9172933003384404E-3</v>
      </c>
      <c r="I8" s="24">
        <v>0.4053835589358033</v>
      </c>
      <c r="J8" s="24">
        <v>1.7879392479196163E-2</v>
      </c>
      <c r="K8" s="24">
        <v>6.1913801628413201E-2</v>
      </c>
      <c r="L8" s="24">
        <v>7.1694625951822331E-3</v>
      </c>
      <c r="M8" s="24">
        <v>0.161758095450552</v>
      </c>
      <c r="N8" s="24">
        <v>6.1408266537033305E-3</v>
      </c>
      <c r="O8" s="24">
        <v>1.2381409144120883E-2</v>
      </c>
      <c r="P8" s="24">
        <v>1.1868507993502642E-2</v>
      </c>
      <c r="Q8" s="24">
        <v>2.5816883586223801E-2</v>
      </c>
      <c r="R8" s="24">
        <v>1.0674577721461603E-2</v>
      </c>
      <c r="S8" s="24">
        <v>0.332437162519094</v>
      </c>
      <c r="T8" s="24">
        <v>9.5223079450082099E-2</v>
      </c>
      <c r="U8" s="24">
        <v>1.7132926555936397E-2</v>
      </c>
      <c r="V8" s="24">
        <v>6.448993629384768E-2</v>
      </c>
      <c r="W8" s="24">
        <v>4.7664127319577603E-3</v>
      </c>
      <c r="X8" s="24">
        <v>2.6573716015599702E-3</v>
      </c>
      <c r="Y8" s="24">
        <v>1.16014430063512E-2</v>
      </c>
      <c r="Z8" s="25">
        <v>7.3764107627487122E-3</v>
      </c>
    </row>
    <row r="9" spans="1:26" x14ac:dyDescent="0.3">
      <c r="A9" s="134">
        <v>4</v>
      </c>
      <c r="B9" s="23">
        <v>1.43220520971863E-3</v>
      </c>
      <c r="C9" s="24">
        <v>1.4268957582058001E-3</v>
      </c>
      <c r="D9" s="24">
        <v>1.9578642921931101E-3</v>
      </c>
      <c r="E9" s="24">
        <v>6.4914503403267501E-2</v>
      </c>
      <c r="F9" s="24">
        <v>2.7359926129808199E-2</v>
      </c>
      <c r="G9" s="24">
        <v>0</v>
      </c>
      <c r="H9" s="24">
        <v>5.2331860055227072E-4</v>
      </c>
      <c r="I9" s="24">
        <v>3.45204015330406E-3</v>
      </c>
      <c r="J9" s="24">
        <v>1.46930932970751E-2</v>
      </c>
      <c r="K9" s="24">
        <v>1.34364995746756E-2</v>
      </c>
      <c r="L9" s="24">
        <v>4.0082774588121699E-3</v>
      </c>
      <c r="M9" s="24">
        <v>1.9221834512063701E-3</v>
      </c>
      <c r="N9" s="24">
        <v>1.74522103786469E-3</v>
      </c>
      <c r="O9" s="24">
        <v>6.4760180242956402E-3</v>
      </c>
      <c r="P9" s="24">
        <v>2.55245766891448E-3</v>
      </c>
      <c r="Q9" s="24">
        <v>2.6580861581568002E-3</v>
      </c>
      <c r="R9" s="24">
        <v>1.0069468126353299E-2</v>
      </c>
      <c r="S9" s="24">
        <v>8.0348899423680306E-5</v>
      </c>
      <c r="T9" s="24">
        <v>1.0652903788578499E-2</v>
      </c>
      <c r="U9" s="24">
        <v>3.3371316911224901E-3</v>
      </c>
      <c r="V9" s="24">
        <v>4.1413067272714799E-4</v>
      </c>
      <c r="W9" s="24">
        <v>3.8421553593666899E-4</v>
      </c>
      <c r="X9" s="24">
        <v>5.9443271960444297E-4</v>
      </c>
      <c r="Y9" s="24">
        <v>3.12235208334051E-3</v>
      </c>
      <c r="Z9" s="25">
        <v>1.4937170851287199E-3</v>
      </c>
    </row>
    <row r="10" spans="1:26" x14ac:dyDescent="0.3">
      <c r="A10" s="134">
        <v>5</v>
      </c>
      <c r="B10" s="23">
        <v>1.01475217764049E-2</v>
      </c>
      <c r="C10" s="24">
        <v>3.9196032697089302E-2</v>
      </c>
      <c r="D10" s="24">
        <v>1.80121453218463E-2</v>
      </c>
      <c r="E10" s="24">
        <v>3.2964558147885299E-2</v>
      </c>
      <c r="F10" s="24">
        <v>0.20824782128307301</v>
      </c>
      <c r="G10" s="24">
        <v>0</v>
      </c>
      <c r="H10" s="24">
        <v>1.3037212747703314E-2</v>
      </c>
      <c r="I10" s="24">
        <v>8.07734178908108E-3</v>
      </c>
      <c r="J10" s="24">
        <v>7.8244868195230896E-2</v>
      </c>
      <c r="K10" s="24">
        <v>2.3383465843341202E-2</v>
      </c>
      <c r="L10" s="24">
        <v>0.103790955887217</v>
      </c>
      <c r="M10" s="24">
        <v>2.8739885738178199E-2</v>
      </c>
      <c r="N10" s="24">
        <v>4.0069082549776203E-2</v>
      </c>
      <c r="O10" s="24">
        <v>3.77958483200901E-2</v>
      </c>
      <c r="P10" s="24">
        <v>2.94677155712629E-2</v>
      </c>
      <c r="Q10" s="24">
        <v>5.6097606382478099E-2</v>
      </c>
      <c r="R10" s="24">
        <v>5.1733170223390003E-2</v>
      </c>
      <c r="S10" s="24">
        <v>2.4652455728991499E-2</v>
      </c>
      <c r="T10" s="24">
        <v>2.6187940076536801E-2</v>
      </c>
      <c r="U10" s="24">
        <v>3.6790206094792603E-2</v>
      </c>
      <c r="V10" s="24">
        <v>6.3422188079354297E-3</v>
      </c>
      <c r="W10" s="24">
        <v>1.16014832965618E-2</v>
      </c>
      <c r="X10" s="24">
        <v>1.2625299393220799E-2</v>
      </c>
      <c r="Y10" s="24">
        <v>4.9311057453861599E-2</v>
      </c>
      <c r="Z10" s="25">
        <v>2.8965603231233299E-2</v>
      </c>
    </row>
    <row r="11" spans="1:26" x14ac:dyDescent="0.3">
      <c r="A11" s="134">
        <v>6</v>
      </c>
      <c r="B11" s="23">
        <v>0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5">
        <v>0</v>
      </c>
    </row>
    <row r="12" spans="1:26" x14ac:dyDescent="0.3">
      <c r="A12" s="134">
        <v>7</v>
      </c>
      <c r="B12" s="23">
        <v>0.16028201364348199</v>
      </c>
      <c r="C12" s="24">
        <v>0.140644419374166</v>
      </c>
      <c r="D12" s="24">
        <v>0.133159876791589</v>
      </c>
      <c r="E12" s="24">
        <v>0.20167080261919701</v>
      </c>
      <c r="F12" s="24">
        <v>0.15957594232281</v>
      </c>
      <c r="G12" s="24">
        <v>0</v>
      </c>
      <c r="H12" s="24">
        <v>0.25143667087611143</v>
      </c>
      <c r="I12" s="24">
        <v>0.10044933067508401</v>
      </c>
      <c r="J12" s="24">
        <v>0.15926042391827899</v>
      </c>
      <c r="K12" s="24">
        <v>0.230728190637638</v>
      </c>
      <c r="L12" s="24">
        <v>0.16022238810464001</v>
      </c>
      <c r="M12" s="24">
        <v>0.24301457608676899</v>
      </c>
      <c r="N12" s="24">
        <v>0.21416240297202499</v>
      </c>
      <c r="O12" s="24">
        <v>0.183788236880644</v>
      </c>
      <c r="P12" s="24">
        <v>0.19625113009974501</v>
      </c>
      <c r="Q12" s="24">
        <v>0.33320243306493302</v>
      </c>
      <c r="R12" s="24">
        <v>0.20513075044843501</v>
      </c>
      <c r="S12" s="24">
        <v>0.11613295566873</v>
      </c>
      <c r="T12" s="24">
        <v>0.24801022780197499</v>
      </c>
      <c r="U12" s="24">
        <v>0.223624391691672</v>
      </c>
      <c r="V12" s="24">
        <v>0.25064135522724201</v>
      </c>
      <c r="W12" s="24">
        <v>0.171990752192026</v>
      </c>
      <c r="X12" s="24">
        <v>0.21865320442542799</v>
      </c>
      <c r="Y12" s="24">
        <v>0.19583313106608799</v>
      </c>
      <c r="Z12" s="25">
        <v>0.27314692113524902</v>
      </c>
    </row>
    <row r="13" spans="1:26" x14ac:dyDescent="0.3">
      <c r="A13" s="134">
        <v>8</v>
      </c>
      <c r="B13" s="23">
        <v>1.20665402501972E-4</v>
      </c>
      <c r="C13" s="24">
        <v>3.89970267581099E-4</v>
      </c>
      <c r="D13" s="24">
        <v>1.5024882946155199E-2</v>
      </c>
      <c r="E13" s="24">
        <v>9.3582984736613299E-4</v>
      </c>
      <c r="F13" s="24">
        <v>2.71377689996667E-3</v>
      </c>
      <c r="G13" s="24">
        <v>0</v>
      </c>
      <c r="H13" s="24">
        <v>2.4293932800323318E-4</v>
      </c>
      <c r="I13" s="24">
        <v>2.7467514807638298E-2</v>
      </c>
      <c r="J13" s="24">
        <v>2.4871275540200102E-2</v>
      </c>
      <c r="K13" s="24">
        <v>1.35677787473531E-2</v>
      </c>
      <c r="L13" s="24">
        <v>2.2029266896525499E-4</v>
      </c>
      <c r="M13" s="24">
        <v>3.2435625601778999E-3</v>
      </c>
      <c r="N13" s="24">
        <v>5.2643000887705701E-4</v>
      </c>
      <c r="O13" s="24">
        <v>1.16495964150459E-3</v>
      </c>
      <c r="P13" s="24">
        <v>1.00457590099743E-3</v>
      </c>
      <c r="Q13" s="24">
        <v>1.5265805575712999E-3</v>
      </c>
      <c r="R13" s="24">
        <v>1.39870140444915E-3</v>
      </c>
      <c r="S13" s="24">
        <v>1.52062888807179E-2</v>
      </c>
      <c r="T13" s="24">
        <v>3.8355862322307999E-3</v>
      </c>
      <c r="U13" s="24">
        <v>1.8919152914122701E-3</v>
      </c>
      <c r="V13" s="24">
        <v>7.4102038255214097E-3</v>
      </c>
      <c r="W13" s="24">
        <v>3.98486775168565E-4</v>
      </c>
      <c r="X13" s="24">
        <v>1.2972169023967001E-4</v>
      </c>
      <c r="Y13" s="24">
        <v>8.0553879571171696E-4</v>
      </c>
      <c r="Z13" s="25">
        <v>9.7661399382555189E-4</v>
      </c>
    </row>
    <row r="14" spans="1:26" x14ac:dyDescent="0.3">
      <c r="A14" s="134">
        <v>9</v>
      </c>
      <c r="B14" s="23">
        <v>2.9542517471875598E-2</v>
      </c>
      <c r="C14" s="24">
        <v>5.8390700397720499E-2</v>
      </c>
      <c r="D14" s="24">
        <v>1.7043331891018601E-2</v>
      </c>
      <c r="E14" s="24">
        <v>2.2643414922966201E-2</v>
      </c>
      <c r="F14" s="24">
        <v>3.3583888739082197E-2</v>
      </c>
      <c r="G14" s="24">
        <v>0</v>
      </c>
      <c r="H14" s="24">
        <v>7.4803201040325625E-3</v>
      </c>
      <c r="I14" s="24">
        <v>2.4962355987093E-2</v>
      </c>
      <c r="J14" s="24">
        <v>0.28658766313544498</v>
      </c>
      <c r="K14" s="24">
        <v>0.16469841466502599</v>
      </c>
      <c r="L14" s="24">
        <v>3.8876422715385703E-2</v>
      </c>
      <c r="M14" s="24">
        <v>6.2472320034362297E-3</v>
      </c>
      <c r="N14" s="24">
        <v>2.7572583806540801E-3</v>
      </c>
      <c r="O14" s="24">
        <v>4.2028040485470701E-3</v>
      </c>
      <c r="P14" s="24">
        <v>5.3679115155426298E-3</v>
      </c>
      <c r="Q14" s="24">
        <v>8.5210321048727004E-3</v>
      </c>
      <c r="R14" s="24">
        <v>8.4214188067408095E-3</v>
      </c>
      <c r="S14" s="24">
        <v>1.7348901432181201E-3</v>
      </c>
      <c r="T14" s="24">
        <v>4.4240285646965699E-3</v>
      </c>
      <c r="U14" s="24">
        <v>3.7540117061461403E-2</v>
      </c>
      <c r="V14" s="24">
        <v>5.6921309836203303E-3</v>
      </c>
      <c r="W14" s="24">
        <v>3.4032556524914602E-3</v>
      </c>
      <c r="X14" s="24">
        <v>7.9044607078611995E-2</v>
      </c>
      <c r="Y14" s="24">
        <v>1.4169102128574E-2</v>
      </c>
      <c r="Z14" s="25">
        <v>8.1007425762811298E-3</v>
      </c>
    </row>
    <row r="15" spans="1:26" ht="16.5" customHeight="1" x14ac:dyDescent="0.3">
      <c r="A15" s="134">
        <v>10</v>
      </c>
      <c r="B15" s="23">
        <v>6.4968331746511506E-5</v>
      </c>
      <c r="C15" s="24">
        <v>5.6168127232145109E-5</v>
      </c>
      <c r="D15" s="24">
        <v>1.24654432007028E-4</v>
      </c>
      <c r="E15" s="24">
        <v>2.3909216238776301E-4</v>
      </c>
      <c r="F15" s="24">
        <v>6.3962803569797531E-5</v>
      </c>
      <c r="G15" s="24">
        <v>0</v>
      </c>
      <c r="H15" s="24">
        <v>6.5676303458412749E-5</v>
      </c>
      <c r="I15" s="24">
        <v>5.3608316731015288E-5</v>
      </c>
      <c r="J15" s="24">
        <v>3.1586914400014881E-4</v>
      </c>
      <c r="K15" s="24">
        <v>2.0531485551494722E-4</v>
      </c>
      <c r="L15" s="24">
        <v>3.5341794804715281E-5</v>
      </c>
      <c r="M15" s="24">
        <v>1.4379543599710083E-3</v>
      </c>
      <c r="N15" s="24">
        <v>1.2735559023642599E-3</v>
      </c>
      <c r="O15" s="24">
        <v>4.1822610513003608E-4</v>
      </c>
      <c r="P15" s="24">
        <v>1.6910937119274483E-3</v>
      </c>
      <c r="Q15" s="24">
        <v>7.9060228255434101E-3</v>
      </c>
      <c r="R15" s="24">
        <v>1.5107267738121281E-3</v>
      </c>
      <c r="S15" s="24">
        <v>1.18464105549092E-5</v>
      </c>
      <c r="T15" s="24">
        <v>6.8811509304374298E-5</v>
      </c>
      <c r="U15" s="24">
        <v>3.1993214435477801E-4</v>
      </c>
      <c r="V15" s="24">
        <v>3.8071636013637603E-4</v>
      </c>
      <c r="W15" s="24">
        <v>6.2075381133510905E-5</v>
      </c>
      <c r="X15" s="24">
        <v>4.2732730454769401E-5</v>
      </c>
      <c r="Y15" s="24">
        <v>1.4961468621482599E-4</v>
      </c>
      <c r="Z15" s="25">
        <v>1.1240241258753681E-4</v>
      </c>
    </row>
    <row r="16" spans="1:26" x14ac:dyDescent="0.3">
      <c r="A16" s="134">
        <v>11</v>
      </c>
      <c r="B16" s="23">
        <v>1.4484177093716501E-2</v>
      </c>
      <c r="C16" s="24">
        <v>2.5603862569102302E-2</v>
      </c>
      <c r="D16" s="24">
        <v>2.7720864708768202E-2</v>
      </c>
      <c r="E16" s="24">
        <v>6.2984282932331201E-2</v>
      </c>
      <c r="F16" s="24">
        <v>0.121995476180876</v>
      </c>
      <c r="G16" s="24">
        <v>0</v>
      </c>
      <c r="H16" s="24">
        <v>2.174043113071647E-2</v>
      </c>
      <c r="I16" s="24">
        <v>1.6353183690639199E-2</v>
      </c>
      <c r="J16" s="24">
        <v>4.3304041925318199E-2</v>
      </c>
      <c r="K16" s="24">
        <v>4.2805069711458803E-2</v>
      </c>
      <c r="L16" s="24">
        <v>0.33491679370945199</v>
      </c>
      <c r="M16" s="24">
        <v>6.6553674485956102E-2</v>
      </c>
      <c r="N16" s="24">
        <v>2.8775742312845701E-2</v>
      </c>
      <c r="O16" s="24">
        <v>4.13700352637658E-2</v>
      </c>
      <c r="P16" s="24">
        <v>2.4184126210035201E-2</v>
      </c>
      <c r="Q16" s="24">
        <v>4.3423477728635099E-2</v>
      </c>
      <c r="R16" s="24">
        <v>2.1268709155750701E-2</v>
      </c>
      <c r="S16" s="24">
        <v>6.7082702050553396E-3</v>
      </c>
      <c r="T16" s="24">
        <v>1.38998602410568E-2</v>
      </c>
      <c r="U16" s="24">
        <v>2.1620419428628E-2</v>
      </c>
      <c r="V16" s="24">
        <v>3.64865184906734E-2</v>
      </c>
      <c r="W16" s="24">
        <v>1.7261211716239101E-2</v>
      </c>
      <c r="X16" s="24">
        <v>3.0634544876883101E-2</v>
      </c>
      <c r="Y16" s="24">
        <v>6.0127035812062302E-2</v>
      </c>
      <c r="Z16" s="25">
        <v>4.8210825376972098E-2</v>
      </c>
    </row>
    <row r="17" spans="1:26" x14ac:dyDescent="0.3">
      <c r="A17" s="134">
        <v>12</v>
      </c>
      <c r="B17" s="23">
        <v>1.566277697050113E-3</v>
      </c>
      <c r="C17" s="24">
        <v>1.58250392565654E-3</v>
      </c>
      <c r="D17" s="24">
        <v>2.0621203310878891E-3</v>
      </c>
      <c r="E17" s="24">
        <v>7.3789844705381699E-3</v>
      </c>
      <c r="F17" s="24">
        <v>1.449713254362015E-3</v>
      </c>
      <c r="G17" s="24">
        <v>0</v>
      </c>
      <c r="H17" s="24">
        <v>1.2520014172488947E-3</v>
      </c>
      <c r="I17" s="24">
        <v>2.3187407907967078E-3</v>
      </c>
      <c r="J17" s="24">
        <v>1.27588019493681E-3</v>
      </c>
      <c r="K17" s="24">
        <v>1.838404116152211E-3</v>
      </c>
      <c r="L17" s="24">
        <v>1.6139735098831291E-3</v>
      </c>
      <c r="M17" s="24">
        <v>2.1588538854566278E-3</v>
      </c>
      <c r="N17" s="24">
        <v>3.4109277092803504E-3</v>
      </c>
      <c r="O17" s="24">
        <v>7.5940476794382901E-5</v>
      </c>
      <c r="P17" s="24">
        <v>2.1249119145742501E-4</v>
      </c>
      <c r="Q17" s="24">
        <v>3.3552872233254898E-3</v>
      </c>
      <c r="R17" s="24">
        <v>1.1619898752204599E-3</v>
      </c>
      <c r="S17" s="24">
        <v>1.340044288311993E-4</v>
      </c>
      <c r="T17" s="24">
        <v>8.6359043532426591E-4</v>
      </c>
      <c r="U17" s="24">
        <v>8.87961311988588E-4</v>
      </c>
      <c r="V17" s="24">
        <v>6.4558915604246401E-4</v>
      </c>
      <c r="W17" s="24">
        <v>1.089346197261216E-3</v>
      </c>
      <c r="X17" s="24">
        <v>8.5925287685829899E-4</v>
      </c>
      <c r="Y17" s="24">
        <v>1.9289777393300968E-3</v>
      </c>
      <c r="Z17" s="25">
        <v>7.9855852335418789E-4</v>
      </c>
    </row>
    <row r="18" spans="1:26" x14ac:dyDescent="0.3">
      <c r="A18" s="134">
        <v>13</v>
      </c>
      <c r="B18" s="23">
        <v>6.6053828104682493E-4</v>
      </c>
      <c r="C18" s="24">
        <v>8.7556301072811912E-4</v>
      </c>
      <c r="D18" s="24">
        <v>5.4038886744442948E-4</v>
      </c>
      <c r="E18" s="24">
        <v>1.0031577082289191E-3</v>
      </c>
      <c r="F18" s="24">
        <v>8.5929728790596759E-4</v>
      </c>
      <c r="G18" s="24">
        <v>0</v>
      </c>
      <c r="H18" s="24">
        <v>6.6350369394494433E-4</v>
      </c>
      <c r="I18" s="24">
        <v>6.7535389656256145E-4</v>
      </c>
      <c r="J18" s="24">
        <v>1.3174945224917131E-3</v>
      </c>
      <c r="K18" s="24">
        <v>1.5301033385880511E-3</v>
      </c>
      <c r="L18" s="24">
        <v>6.6908580892481335E-4</v>
      </c>
      <c r="M18" s="24">
        <v>6.3781250120673923E-3</v>
      </c>
      <c r="N18" s="24">
        <v>1.222719545022111E-2</v>
      </c>
      <c r="O18" s="24">
        <v>6.9331915625017867E-5</v>
      </c>
      <c r="P18" s="24">
        <v>1.2620135314972351E-4</v>
      </c>
      <c r="Q18" s="24">
        <v>1.1939133688361369E-2</v>
      </c>
      <c r="R18" s="24">
        <v>7.7070280897492032E-4</v>
      </c>
      <c r="S18" s="24">
        <v>1.2261604648554898E-4</v>
      </c>
      <c r="T18" s="24">
        <v>1.6555415286292468E-4</v>
      </c>
      <c r="U18" s="24">
        <v>1.213354516324545E-3</v>
      </c>
      <c r="V18" s="24">
        <v>4.2746543046083606E-4</v>
      </c>
      <c r="W18" s="24">
        <v>8.1529642266587015E-4</v>
      </c>
      <c r="X18" s="24">
        <v>5.4299576857386514E-4</v>
      </c>
      <c r="Y18" s="24">
        <v>1.4497585401464009E-3</v>
      </c>
      <c r="Z18" s="25">
        <v>7.45106433347897E-4</v>
      </c>
    </row>
    <row r="19" spans="1:26" ht="17.55" customHeight="1" x14ac:dyDescent="0.3">
      <c r="A19" s="134">
        <v>14</v>
      </c>
      <c r="B19" s="23">
        <v>2.0632451346953525E-3</v>
      </c>
      <c r="C19" s="24">
        <v>2.4928524600668451E-3</v>
      </c>
      <c r="D19" s="24">
        <v>2.8587473864946805E-3</v>
      </c>
      <c r="E19" s="24">
        <v>9.9191164096686935E-3</v>
      </c>
      <c r="F19" s="24">
        <v>1.8378834199109075E-3</v>
      </c>
      <c r="G19" s="24">
        <v>0</v>
      </c>
      <c r="H19" s="24">
        <v>1.5364150284753733E-3</v>
      </c>
      <c r="I19" s="24">
        <v>2.594748449812943E-3</v>
      </c>
      <c r="J19" s="24">
        <v>2.5076894591066958E-3</v>
      </c>
      <c r="K19" s="24">
        <v>4.7381112381419347E-3</v>
      </c>
      <c r="L19" s="24">
        <v>1.9063869001139651E-3</v>
      </c>
      <c r="M19" s="24">
        <v>1.670382648031845E-3</v>
      </c>
      <c r="N19" s="24">
        <v>2.5022249400568045E-3</v>
      </c>
      <c r="O19" s="24">
        <v>2.7209923072640444E-4</v>
      </c>
      <c r="P19" s="24">
        <v>3.1726019226622549E-4</v>
      </c>
      <c r="Q19" s="24">
        <v>2.6643480460962657E-3</v>
      </c>
      <c r="R19" s="24">
        <v>1.6465009810374446E-3</v>
      </c>
      <c r="S19" s="24">
        <v>1.5675950569820081E-4</v>
      </c>
      <c r="T19" s="24">
        <v>1.4665407239352977E-3</v>
      </c>
      <c r="U19" s="24">
        <v>7.3346995626595471E-4</v>
      </c>
      <c r="V19" s="24">
        <v>8.3655533158249096E-4</v>
      </c>
      <c r="W19" s="24">
        <v>1.2048752524858031E-3</v>
      </c>
      <c r="X19" s="24">
        <v>9.6815883845721945E-4</v>
      </c>
      <c r="Y19" s="24">
        <v>2.7688659054576578E-3</v>
      </c>
      <c r="Z19" s="25">
        <v>1.3839830016629385E-3</v>
      </c>
    </row>
    <row r="20" spans="1:26" x14ac:dyDescent="0.3">
      <c r="A20" s="134">
        <v>15</v>
      </c>
      <c r="B20" s="23">
        <v>3.9645913368608552E-4</v>
      </c>
      <c r="C20" s="24">
        <v>3.9644017432142418E-4</v>
      </c>
      <c r="D20" s="24">
        <v>4.0302878863411312E-3</v>
      </c>
      <c r="E20" s="24">
        <v>1.5618476495018034E-3</v>
      </c>
      <c r="F20" s="24">
        <v>6.9056634222710623E-4</v>
      </c>
      <c r="G20" s="24">
        <v>0</v>
      </c>
      <c r="H20" s="24">
        <v>3.9665205587834643E-4</v>
      </c>
      <c r="I20" s="24">
        <v>6.8015937494557942E-3</v>
      </c>
      <c r="J20" s="24">
        <v>8.0084143961977228E-4</v>
      </c>
      <c r="K20" s="24">
        <v>1.6580188341446191E-3</v>
      </c>
      <c r="L20" s="24">
        <v>4.7521325245345527E-4</v>
      </c>
      <c r="M20" s="24">
        <v>3.5485154409868051E-3</v>
      </c>
      <c r="N20" s="24">
        <v>6.7478716924823656E-4</v>
      </c>
      <c r="O20" s="24">
        <v>4.0382859664675453E-4</v>
      </c>
      <c r="P20" s="24">
        <v>9.3932436839740379E-4</v>
      </c>
      <c r="Q20" s="24">
        <v>7.0268604275908544E-4</v>
      </c>
      <c r="R20" s="24">
        <v>1.1218032333737897E-3</v>
      </c>
      <c r="S20" s="24">
        <v>9.5684196006438565E-5</v>
      </c>
      <c r="T20" s="24">
        <v>1.8456788729952098E-4</v>
      </c>
      <c r="U20" s="24">
        <v>1.6329707812297363E-4</v>
      </c>
      <c r="V20" s="24">
        <v>1.3284709169895132E-3</v>
      </c>
      <c r="W20" s="24">
        <v>2.4844540253307845E-4</v>
      </c>
      <c r="X20" s="24">
        <v>1.918912658177932E-4</v>
      </c>
      <c r="Y20" s="24">
        <v>4.1847992407674739E-4</v>
      </c>
      <c r="Z20" s="25">
        <v>4.5720154338280079E-4</v>
      </c>
    </row>
    <row r="21" spans="1:26" x14ac:dyDescent="0.3">
      <c r="A21" s="134">
        <v>16</v>
      </c>
      <c r="B21" s="23">
        <v>0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5">
        <v>0</v>
      </c>
    </row>
    <row r="22" spans="1:26" x14ac:dyDescent="0.3">
      <c r="A22" s="134">
        <v>17</v>
      </c>
      <c r="B22" s="23">
        <v>8.1575425755951915E-5</v>
      </c>
      <c r="C22" s="24">
        <v>8.5161833710579773E-5</v>
      </c>
      <c r="D22" s="24">
        <v>8.548683906612933E-4</v>
      </c>
      <c r="E22" s="24">
        <v>3.2817772850130119E-4</v>
      </c>
      <c r="F22" s="24">
        <v>1.4292572069968175E-4</v>
      </c>
      <c r="G22" s="24">
        <v>0</v>
      </c>
      <c r="H22" s="24">
        <v>7.9927585318645056E-5</v>
      </c>
      <c r="I22" s="24">
        <v>1.4441836283327007E-3</v>
      </c>
      <c r="J22" s="24">
        <v>2.0563025980374427E-4</v>
      </c>
      <c r="K22" s="24">
        <v>3.6120020034559233E-4</v>
      </c>
      <c r="L22" s="24">
        <v>1.016136445287785E-4</v>
      </c>
      <c r="M22" s="24">
        <v>7.577863956140182E-4</v>
      </c>
      <c r="N22" s="24">
        <v>1.6164501468376153E-4</v>
      </c>
      <c r="O22" s="24">
        <v>8.7992468361090925E-5</v>
      </c>
      <c r="P22" s="24">
        <v>1.9996759412885549E-4</v>
      </c>
      <c r="Q22" s="24">
        <v>1.697025966650329E-4</v>
      </c>
      <c r="R22" s="24">
        <v>2.4774588877520969E-4</v>
      </c>
      <c r="S22" s="24">
        <v>2.4150796706122747E-5</v>
      </c>
      <c r="T22" s="24">
        <v>3.9184184380126885E-5</v>
      </c>
      <c r="U22" s="24">
        <v>3.9167572902937289E-5</v>
      </c>
      <c r="V22" s="24">
        <v>2.8315163370501754E-4</v>
      </c>
      <c r="W22" s="24">
        <v>6.8444984899166547E-5</v>
      </c>
      <c r="X22" s="24">
        <v>4.4202705107081271E-5</v>
      </c>
      <c r="Y22" s="24">
        <v>9.9624733886382431E-5</v>
      </c>
      <c r="Z22" s="25">
        <v>1.1930623204198858E-4</v>
      </c>
    </row>
    <row r="23" spans="1:26" ht="16.95" customHeight="1" x14ac:dyDescent="0.3">
      <c r="A23" s="134">
        <v>18</v>
      </c>
      <c r="B23" s="23">
        <v>0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5">
        <v>0</v>
      </c>
    </row>
    <row r="24" spans="1:26" x14ac:dyDescent="0.3">
      <c r="A24" s="134">
        <v>19</v>
      </c>
      <c r="B24" s="23">
        <v>0</v>
      </c>
      <c r="C24" s="24">
        <v>0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5">
        <v>0</v>
      </c>
    </row>
    <row r="25" spans="1:26" ht="16.95" customHeight="1" x14ac:dyDescent="0.3">
      <c r="A25" s="134">
        <v>20</v>
      </c>
      <c r="B25" s="23">
        <v>0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5">
        <v>0</v>
      </c>
    </row>
    <row r="26" spans="1:26" x14ac:dyDescent="0.3">
      <c r="A26" s="134">
        <v>21</v>
      </c>
      <c r="B26" s="23">
        <v>2.22091646926935E-2</v>
      </c>
      <c r="C26" s="24">
        <v>1.9141422326554299E-2</v>
      </c>
      <c r="D26" s="24">
        <v>2.0247649677415901E-2</v>
      </c>
      <c r="E26" s="24">
        <v>4.6872132726848002E-2</v>
      </c>
      <c r="F26" s="24">
        <v>2.9922517160498499E-2</v>
      </c>
      <c r="G26" s="24">
        <v>0</v>
      </c>
      <c r="H26" s="24">
        <v>1.9320991888484178E-2</v>
      </c>
      <c r="I26" s="24">
        <v>1.42286015326123E-2</v>
      </c>
      <c r="J26" s="24">
        <v>1.52895197882425E-2</v>
      </c>
      <c r="K26" s="24">
        <v>3.1988800569947601E-2</v>
      </c>
      <c r="L26" s="24">
        <v>1.6782679150205801E-2</v>
      </c>
      <c r="M26" s="24">
        <v>2.8496385389400199E-2</v>
      </c>
      <c r="N26" s="24">
        <v>1.21743853468408E-2</v>
      </c>
      <c r="O26" s="24">
        <v>1.1860851130276E-2</v>
      </c>
      <c r="P26" s="24">
        <v>2.4799956058600098E-2</v>
      </c>
      <c r="Q26" s="24">
        <v>3.9300428998772403E-2</v>
      </c>
      <c r="R26" s="24">
        <v>2.5392930060305099E-2</v>
      </c>
      <c r="S26" s="24">
        <v>3.6822023518479997E-2</v>
      </c>
      <c r="T26" s="24">
        <v>4.6184851090420302E-2</v>
      </c>
      <c r="U26" s="24">
        <v>5.5577535786091203E-2</v>
      </c>
      <c r="V26" s="24">
        <v>7.6365619622057304E-2</v>
      </c>
      <c r="W26" s="24">
        <v>1.8150182660851E-2</v>
      </c>
      <c r="X26" s="24">
        <v>1.2231703456507001E-2</v>
      </c>
      <c r="Y26" s="24">
        <v>3.0095372305840001E-2</v>
      </c>
      <c r="Z26" s="25">
        <v>3.9467346018847597E-2</v>
      </c>
    </row>
    <row r="27" spans="1:26" x14ac:dyDescent="0.3">
      <c r="A27" s="134">
        <v>22</v>
      </c>
      <c r="B27" s="23">
        <v>2.6363103310189E-4</v>
      </c>
      <c r="C27" s="24">
        <v>2.4065256568668101E-4</v>
      </c>
      <c r="D27" s="24">
        <v>2.4599557233919399E-4</v>
      </c>
      <c r="E27" s="24">
        <v>3.6961142917617002E-4</v>
      </c>
      <c r="F27" s="24">
        <v>2.6220324911981698E-4</v>
      </c>
      <c r="G27" s="24">
        <v>0</v>
      </c>
      <c r="H27" s="24">
        <v>1.7573224077912359E-3</v>
      </c>
      <c r="I27" s="24">
        <v>1.9724403029211301E-4</v>
      </c>
      <c r="J27" s="24">
        <v>3.5476681661118699E-4</v>
      </c>
      <c r="K27" s="24">
        <v>6.9350940220937901E-4</v>
      </c>
      <c r="L27" s="24">
        <v>3.4382595911888302E-4</v>
      </c>
      <c r="M27" s="24">
        <v>6.66443755289816E-4</v>
      </c>
      <c r="N27" s="24">
        <v>1.28460364146273E-3</v>
      </c>
      <c r="O27" s="24">
        <v>5.5933385255008399E-4</v>
      </c>
      <c r="P27" s="24">
        <v>1.4619036268246799E-3</v>
      </c>
      <c r="Q27" s="24">
        <v>1.0173245740296101E-3</v>
      </c>
      <c r="R27" s="24">
        <v>8.2127116296431104E-4</v>
      </c>
      <c r="S27" s="24">
        <v>1.940454955051E-3</v>
      </c>
      <c r="T27" s="24">
        <v>2.6109426775632402E-4</v>
      </c>
      <c r="U27" s="24">
        <v>1.90919636417208E-3</v>
      </c>
      <c r="V27" s="24">
        <v>6.6912662550045496E-4</v>
      </c>
      <c r="W27" s="24">
        <v>1.1921982684464399E-2</v>
      </c>
      <c r="X27" s="24">
        <v>1.4135707015807001E-3</v>
      </c>
      <c r="Y27" s="24">
        <v>1.96209790268004E-3</v>
      </c>
      <c r="Z27" s="25">
        <v>1.57616838691568E-3</v>
      </c>
    </row>
    <row r="28" spans="1:26" x14ac:dyDescent="0.3">
      <c r="A28" s="134">
        <v>23</v>
      </c>
      <c r="B28" s="23">
        <v>2.7529415521472398E-4</v>
      </c>
      <c r="C28" s="24">
        <v>2.04415359774232E-4</v>
      </c>
      <c r="D28" s="24">
        <v>1.5879554792403499E-4</v>
      </c>
      <c r="E28" s="24">
        <v>4.4035335320892998E-4</v>
      </c>
      <c r="F28" s="24">
        <v>4.0263152232367002E-4</v>
      </c>
      <c r="G28" s="24">
        <v>0</v>
      </c>
      <c r="H28" s="24">
        <v>1.9694819216883354E-3</v>
      </c>
      <c r="I28" s="24">
        <v>2.0242080825696399E-4</v>
      </c>
      <c r="J28" s="24">
        <v>2.99370094272636E-4</v>
      </c>
      <c r="K28" s="24">
        <v>8.09253413078774E-4</v>
      </c>
      <c r="L28" s="24">
        <v>6.9676251086159995E-4</v>
      </c>
      <c r="M28" s="24">
        <v>5.3793287204814905E-4</v>
      </c>
      <c r="N28" s="24">
        <v>3.3677362055066501E-4</v>
      </c>
      <c r="O28" s="24">
        <v>8.8424532245259097E-4</v>
      </c>
      <c r="P28" s="24">
        <v>4.3302384103292499E-4</v>
      </c>
      <c r="Q28" s="24">
        <v>3.28729824259229E-4</v>
      </c>
      <c r="R28" s="24">
        <v>3.6633293743371001E-4</v>
      </c>
      <c r="S28" s="24">
        <v>4.7077392619808298E-4</v>
      </c>
      <c r="T28" s="24">
        <v>3.4873697412372303E-4</v>
      </c>
      <c r="U28" s="24">
        <v>3.0925258397174302E-4</v>
      </c>
      <c r="V28" s="24">
        <v>2.0499641697104099E-4</v>
      </c>
      <c r="W28" s="24">
        <v>1.25664417123887E-3</v>
      </c>
      <c r="X28" s="24">
        <v>2.1711104597175901E-2</v>
      </c>
      <c r="Y28" s="24">
        <v>3.44567312978768E-3</v>
      </c>
      <c r="Z28" s="25">
        <v>2.5682704112420401E-3</v>
      </c>
    </row>
    <row r="29" spans="1:26" x14ac:dyDescent="0.3">
      <c r="A29" s="134">
        <v>24</v>
      </c>
      <c r="B29" s="23">
        <v>1.02081087847596E-2</v>
      </c>
      <c r="C29" s="24">
        <v>4.2158240414676001E-3</v>
      </c>
      <c r="D29" s="24">
        <v>5.4739623713019698E-3</v>
      </c>
      <c r="E29" s="24">
        <v>3.2015688407412602E-3</v>
      </c>
      <c r="F29" s="24">
        <v>2.8375218547417899E-3</v>
      </c>
      <c r="G29" s="24">
        <v>0</v>
      </c>
      <c r="H29" s="24">
        <v>3.5853143370194107E-3</v>
      </c>
      <c r="I29" s="24">
        <v>1.2526283276512E-3</v>
      </c>
      <c r="J29" s="24">
        <v>3.4312712389129901E-3</v>
      </c>
      <c r="K29" s="24">
        <v>2.37938816742781E-3</v>
      </c>
      <c r="L29" s="24">
        <v>1.4069762012374201E-3</v>
      </c>
      <c r="M29" s="24">
        <v>1.49995270565634E-2</v>
      </c>
      <c r="N29" s="24">
        <v>1.5951830419587001E-2</v>
      </c>
      <c r="O29" s="24">
        <v>2.9010208385224601E-2</v>
      </c>
      <c r="P29" s="24">
        <v>3.74767379819606E-3</v>
      </c>
      <c r="Q29" s="24">
        <v>1.7567815282623502E-2</v>
      </c>
      <c r="R29" s="24">
        <v>3.4811933522660402E-3</v>
      </c>
      <c r="S29" s="24">
        <v>6.5371255212567795E-4</v>
      </c>
      <c r="T29" s="24">
        <v>8.8033648607272895E-4</v>
      </c>
      <c r="U29" s="24">
        <v>2.3194502879786902E-3</v>
      </c>
      <c r="V29" s="24">
        <v>3.8051803508505101E-3</v>
      </c>
      <c r="W29" s="24">
        <v>3.7731039005323001E-3</v>
      </c>
      <c r="X29" s="24">
        <v>3.9170567389686496E-3</v>
      </c>
      <c r="Y29" s="24">
        <v>4.6316261225656297E-2</v>
      </c>
      <c r="Z29" s="25">
        <v>7.2473286377713206E-2</v>
      </c>
    </row>
    <row r="30" spans="1:26" ht="15" thickBot="1" x14ac:dyDescent="0.35">
      <c r="A30" s="135">
        <v>25</v>
      </c>
      <c r="B30" s="26">
        <v>3.64320599992857E-4</v>
      </c>
      <c r="C30" s="27">
        <v>2.3575402106929601E-4</v>
      </c>
      <c r="D30" s="27">
        <v>4.97619397954724E-4</v>
      </c>
      <c r="E30" s="27">
        <v>3.1909637873511098E-4</v>
      </c>
      <c r="F30" s="27">
        <v>4.65807631627812E-4</v>
      </c>
      <c r="G30" s="27">
        <v>0</v>
      </c>
      <c r="H30" s="27">
        <v>5.3467182520928775E-4</v>
      </c>
      <c r="I30" s="27">
        <v>3.58582726728274E-4</v>
      </c>
      <c r="J30" s="27">
        <v>7.5142131333864903E-4</v>
      </c>
      <c r="K30" s="27">
        <v>6.4544944623498503E-4</v>
      </c>
      <c r="L30" s="27">
        <v>1.76107114657633E-4</v>
      </c>
      <c r="M30" s="27">
        <v>2.1567165035020499E-4</v>
      </c>
      <c r="N30" s="27">
        <v>4.7267970452912497E-4</v>
      </c>
      <c r="O30" s="27">
        <v>6.0856102487955E-4</v>
      </c>
      <c r="P30" s="27">
        <v>2.8157830766378301E-4</v>
      </c>
      <c r="Q30" s="27">
        <v>4.4962768271646402E-3</v>
      </c>
      <c r="R30" s="27">
        <v>5.6958205677985698E-4</v>
      </c>
      <c r="S30" s="27">
        <v>1.9477810408181199E-4</v>
      </c>
      <c r="T30" s="27">
        <v>1.4593615614314601E-4</v>
      </c>
      <c r="U30" s="27">
        <v>1.3636385273401699E-4</v>
      </c>
      <c r="V30" s="27">
        <v>3.6596595781180198E-4</v>
      </c>
      <c r="W30" s="27">
        <v>2.00533950700308E-4</v>
      </c>
      <c r="X30" s="27">
        <v>5.8566946999952197E-4</v>
      </c>
      <c r="Y30" s="27">
        <v>8.0550439330272401E-3</v>
      </c>
      <c r="Z30" s="28">
        <v>2.90726182216101E-2</v>
      </c>
    </row>
    <row r="31" spans="1:26" ht="14.25" customHeight="1" x14ac:dyDescent="0.3"/>
    <row r="32" spans="1:26" ht="14.25" customHeight="1" thickBot="1" x14ac:dyDescent="0.35">
      <c r="A32" s="76" t="s">
        <v>147</v>
      </c>
    </row>
    <row r="33" spans="1:26" ht="15" thickBot="1" x14ac:dyDescent="0.35">
      <c r="A33" s="133" t="s">
        <v>69</v>
      </c>
      <c r="B33" s="16">
        <v>1</v>
      </c>
      <c r="C33" s="16">
        <v>2</v>
      </c>
      <c r="D33" s="16">
        <v>3</v>
      </c>
      <c r="E33" s="16">
        <v>4</v>
      </c>
      <c r="F33" s="16">
        <v>5</v>
      </c>
      <c r="G33" s="16">
        <v>6</v>
      </c>
      <c r="H33" s="16">
        <v>7</v>
      </c>
      <c r="I33" s="16">
        <v>8</v>
      </c>
      <c r="J33" s="16">
        <v>9</v>
      </c>
      <c r="K33" s="16">
        <v>10</v>
      </c>
      <c r="L33" s="16">
        <v>11</v>
      </c>
      <c r="M33" s="16">
        <v>12</v>
      </c>
      <c r="N33" s="16">
        <v>13</v>
      </c>
      <c r="O33" s="16">
        <v>14</v>
      </c>
      <c r="P33" s="16">
        <v>15</v>
      </c>
      <c r="Q33" s="16">
        <v>16</v>
      </c>
      <c r="R33" s="16">
        <v>17</v>
      </c>
      <c r="S33" s="16">
        <v>18</v>
      </c>
      <c r="T33" s="17">
        <v>19</v>
      </c>
      <c r="U33" s="16">
        <v>20</v>
      </c>
      <c r="V33" s="16">
        <v>21</v>
      </c>
      <c r="W33" s="16">
        <v>22</v>
      </c>
      <c r="X33" s="16">
        <v>23</v>
      </c>
      <c r="Y33" s="16">
        <v>24</v>
      </c>
      <c r="Z33" s="18">
        <v>25</v>
      </c>
    </row>
    <row r="34" spans="1:26" x14ac:dyDescent="0.3">
      <c r="A34" s="3">
        <v>1</v>
      </c>
      <c r="B34" s="92">
        <v>0.3667644370670145</v>
      </c>
      <c r="C34" s="93">
        <v>5.6936153557802578E-2</v>
      </c>
      <c r="D34" s="93">
        <v>3.442944016557814E-3</v>
      </c>
      <c r="E34" s="93">
        <v>1.0136938011790161E-2</v>
      </c>
      <c r="F34" s="93">
        <v>6.1847568492036922E-3</v>
      </c>
      <c r="G34" s="93">
        <v>0</v>
      </c>
      <c r="H34" s="93">
        <v>1.6316377907308437E-2</v>
      </c>
      <c r="I34" s="93">
        <v>5.0141643913594099E-3</v>
      </c>
      <c r="J34" s="93">
        <v>3.7815585782902172E-2</v>
      </c>
      <c r="K34" s="93">
        <v>3.5500921793597477E-2</v>
      </c>
      <c r="L34" s="93">
        <v>3.393825457012771E-3</v>
      </c>
      <c r="M34" s="93">
        <v>5.3878729391825557E-3</v>
      </c>
      <c r="N34" s="93">
        <v>2.7798432323902179E-3</v>
      </c>
      <c r="O34" s="93">
        <v>5.038170742390438E-3</v>
      </c>
      <c r="P34" s="93">
        <v>1.433003571614995E-2</v>
      </c>
      <c r="Q34" s="93">
        <v>1.8052083171968051E-2</v>
      </c>
      <c r="R34" s="93">
        <v>1.200125576651073E-2</v>
      </c>
      <c r="S34" s="93">
        <v>5.6387895162083744E-4</v>
      </c>
      <c r="T34" s="93">
        <v>4.1779811918545157E-3</v>
      </c>
      <c r="U34" s="93">
        <v>1.932807798943252E-3</v>
      </c>
      <c r="V34" s="93">
        <v>9.6009390723815237E-3</v>
      </c>
      <c r="W34" s="93">
        <v>6.8781522715970567E-3</v>
      </c>
      <c r="X34" s="93">
        <v>1.8393202038955399E-2</v>
      </c>
      <c r="Y34" s="93">
        <v>8.3612088645359049E-3</v>
      </c>
      <c r="Z34" s="94">
        <v>5.6125556400721151E-3</v>
      </c>
    </row>
    <row r="35" spans="1:26" ht="14.55" customHeight="1" x14ac:dyDescent="0.3">
      <c r="A35" s="134">
        <v>2</v>
      </c>
      <c r="B35" s="95">
        <v>1.0473214242541886E-2</v>
      </c>
      <c r="C35" s="96">
        <v>0.32533491598964143</v>
      </c>
      <c r="D35" s="96">
        <v>1.127420056774318E-3</v>
      </c>
      <c r="E35" s="96">
        <v>3.642853050720451E-3</v>
      </c>
      <c r="F35" s="96">
        <v>1.1908302211003091E-2</v>
      </c>
      <c r="G35" s="96">
        <v>0</v>
      </c>
      <c r="H35" s="96">
        <v>6.5031859364341913E-3</v>
      </c>
      <c r="I35" s="96">
        <v>8.0281680797446818E-4</v>
      </c>
      <c r="J35" s="96">
        <v>2.9129340917036051E-2</v>
      </c>
      <c r="K35" s="96">
        <v>1.0982711360806771E-2</v>
      </c>
      <c r="L35" s="96">
        <v>1.118508998907407E-2</v>
      </c>
      <c r="M35" s="96">
        <v>2.7317750252388029E-3</v>
      </c>
      <c r="N35" s="96">
        <v>1.2825974782695419E-3</v>
      </c>
      <c r="O35" s="96">
        <v>4.3773198457663946E-3</v>
      </c>
      <c r="P35" s="96">
        <v>1.7167868188508761E-3</v>
      </c>
      <c r="Q35" s="96">
        <v>9.0282009988773906E-3</v>
      </c>
      <c r="R35" s="96">
        <v>7.6668994737295933E-3</v>
      </c>
      <c r="S35" s="96">
        <v>4.9298127979361609E-4</v>
      </c>
      <c r="T35" s="96">
        <v>2.529917937374357E-3</v>
      </c>
      <c r="U35" s="96">
        <v>1.946740826153961E-3</v>
      </c>
      <c r="V35" s="96">
        <v>3.1147483776872071E-3</v>
      </c>
      <c r="W35" s="96">
        <v>3.5739834279721631E-3</v>
      </c>
      <c r="X35" s="96">
        <v>1.038748642361508E-2</v>
      </c>
      <c r="Y35" s="96">
        <v>6.4463070778641727E-3</v>
      </c>
      <c r="Z35" s="97">
        <v>4.7815925112398476E-3</v>
      </c>
    </row>
    <row r="36" spans="1:26" x14ac:dyDescent="0.3">
      <c r="A36" s="134">
        <v>3</v>
      </c>
      <c r="B36" s="95">
        <v>7.9741414354581285E-3</v>
      </c>
      <c r="C36" s="96">
        <v>1.260175944544718E-2</v>
      </c>
      <c r="D36" s="96">
        <v>0.25633395599126452</v>
      </c>
      <c r="E36" s="96">
        <v>3.1503626413804331E-2</v>
      </c>
      <c r="F36" s="96">
        <v>2.1452210571589993E-2</v>
      </c>
      <c r="G36" s="96">
        <v>0</v>
      </c>
      <c r="H36" s="96">
        <v>5.5319549628807486E-3</v>
      </c>
      <c r="I36" s="96">
        <v>0.45605650380277862</v>
      </c>
      <c r="J36" s="96">
        <v>2.0114316539095654E-2</v>
      </c>
      <c r="K36" s="96">
        <v>6.9653026831964893E-2</v>
      </c>
      <c r="L36" s="96">
        <v>8.0656454195800076E-3</v>
      </c>
      <c r="M36" s="96">
        <v>0.18197785738187142</v>
      </c>
      <c r="N36" s="96">
        <v>6.1408266537033313E-3</v>
      </c>
      <c r="O36" s="96">
        <v>1.3929085287136021E-2</v>
      </c>
      <c r="P36" s="96">
        <v>1.3352071492690454E-2</v>
      </c>
      <c r="Q36" s="96">
        <v>2.5816883586223791E-2</v>
      </c>
      <c r="R36" s="96">
        <v>1.2008899936644309E-2</v>
      </c>
      <c r="S36" s="96">
        <v>0.33243716251909444</v>
      </c>
      <c r="T36" s="96">
        <v>9.5223079450082085E-2</v>
      </c>
      <c r="U36" s="96">
        <v>1.7132926555936432E-2</v>
      </c>
      <c r="V36" s="96">
        <v>7.2551178330578656E-2</v>
      </c>
      <c r="W36" s="96">
        <v>4.7664127319577629E-3</v>
      </c>
      <c r="X36" s="96">
        <v>2.6573716015599724E-3</v>
      </c>
      <c r="Y36" s="96">
        <v>1.160144300635115E-2</v>
      </c>
      <c r="Z36" s="97">
        <v>8.2984621080923054E-3</v>
      </c>
    </row>
    <row r="37" spans="1:26" x14ac:dyDescent="0.3">
      <c r="A37" s="134">
        <v>4</v>
      </c>
      <c r="B37" s="95">
        <v>1.4322052097186326E-3</v>
      </c>
      <c r="C37" s="96">
        <v>1.4268957582057951E-3</v>
      </c>
      <c r="D37" s="96">
        <v>1.9578642921931119E-3</v>
      </c>
      <c r="E37" s="96">
        <v>6.4914503403267473E-2</v>
      </c>
      <c r="F37" s="96">
        <v>2.7359926129808199E-2</v>
      </c>
      <c r="G37" s="96">
        <v>0</v>
      </c>
      <c r="H37" s="96">
        <v>5.233186005522705E-4</v>
      </c>
      <c r="I37" s="96">
        <v>3.452040153304063E-3</v>
      </c>
      <c r="J37" s="96">
        <v>1.469309329707514E-2</v>
      </c>
      <c r="K37" s="96">
        <v>1.3436499574675621E-2</v>
      </c>
      <c r="L37" s="96">
        <v>4.0082774588121707E-3</v>
      </c>
      <c r="M37" s="96">
        <v>1.9221834512063659E-3</v>
      </c>
      <c r="N37" s="96">
        <v>1.7452210378646931E-3</v>
      </c>
      <c r="O37" s="96">
        <v>6.4760180242956359E-3</v>
      </c>
      <c r="P37" s="96">
        <v>2.55245766891448E-3</v>
      </c>
      <c r="Q37" s="96">
        <v>2.6580861581567989E-3</v>
      </c>
      <c r="R37" s="96">
        <v>1.0069468126353259E-2</v>
      </c>
      <c r="S37" s="96">
        <v>8.0348899423680334E-5</v>
      </c>
      <c r="T37" s="96">
        <v>1.0652903788578499E-2</v>
      </c>
      <c r="U37" s="96">
        <v>3.3371316911224901E-3</v>
      </c>
      <c r="V37" s="96">
        <v>4.1413067272714783E-4</v>
      </c>
      <c r="W37" s="96">
        <v>3.842155359366685E-4</v>
      </c>
      <c r="X37" s="96">
        <v>5.944327196044433E-4</v>
      </c>
      <c r="Y37" s="96">
        <v>3.1223520833405078E-3</v>
      </c>
      <c r="Z37" s="97">
        <v>1.493717085128723E-3</v>
      </c>
    </row>
    <row r="38" spans="1:26" x14ac:dyDescent="0.3">
      <c r="A38" s="134">
        <v>5</v>
      </c>
      <c r="B38" s="95">
        <v>1.0147521776404864E-2</v>
      </c>
      <c r="C38" s="96">
        <v>3.9196032697089281E-2</v>
      </c>
      <c r="D38" s="96">
        <v>1.8012145321846251E-2</v>
      </c>
      <c r="E38" s="96">
        <v>3.2964558147885271E-2</v>
      </c>
      <c r="F38" s="96">
        <v>0.2082478212830732</v>
      </c>
      <c r="G38" s="96">
        <v>0</v>
      </c>
      <c r="H38" s="96">
        <v>1.3037212747703343E-2</v>
      </c>
      <c r="I38" s="96">
        <v>8.0773417890810818E-3</v>
      </c>
      <c r="J38" s="96">
        <v>7.8244868195230938E-2</v>
      </c>
      <c r="K38" s="96">
        <v>2.3383465843341202E-2</v>
      </c>
      <c r="L38" s="96">
        <v>0.103790955887217</v>
      </c>
      <c r="M38" s="96">
        <v>2.8739885738178209E-2</v>
      </c>
      <c r="N38" s="96">
        <v>4.006908254977621E-2</v>
      </c>
      <c r="O38" s="96">
        <v>3.7795848320090107E-2</v>
      </c>
      <c r="P38" s="96">
        <v>2.9467715571262921E-2</v>
      </c>
      <c r="Q38" s="96">
        <v>5.6097606382478141E-2</v>
      </c>
      <c r="R38" s="96">
        <v>5.1733170223390017E-2</v>
      </c>
      <c r="S38" s="96">
        <v>2.4652455728991461E-2</v>
      </c>
      <c r="T38" s="96">
        <v>2.618794007653678E-2</v>
      </c>
      <c r="U38" s="96">
        <v>3.6790206094792631E-2</v>
      </c>
      <c r="V38" s="96">
        <v>6.3422188079354279E-3</v>
      </c>
      <c r="W38" s="96">
        <v>1.160148329656184E-2</v>
      </c>
      <c r="X38" s="96">
        <v>1.262529939322083E-2</v>
      </c>
      <c r="Y38" s="96">
        <v>4.9311057453861558E-2</v>
      </c>
      <c r="Z38" s="97">
        <v>2.896560323123331E-2</v>
      </c>
    </row>
    <row r="39" spans="1:26" x14ac:dyDescent="0.3">
      <c r="A39" s="134">
        <v>6</v>
      </c>
      <c r="B39" s="95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Z39" s="97">
        <v>0</v>
      </c>
    </row>
    <row r="40" spans="1:26" x14ac:dyDescent="0.3">
      <c r="A40" s="134">
        <v>7</v>
      </c>
      <c r="B40" s="95">
        <v>0.16028201364348182</v>
      </c>
      <c r="C40" s="96">
        <v>0.14064441937416569</v>
      </c>
      <c r="D40" s="96">
        <v>0.1331598767915888</v>
      </c>
      <c r="E40" s="96">
        <v>0.20167080261919701</v>
      </c>
      <c r="F40" s="96">
        <v>0.15957594232281</v>
      </c>
      <c r="G40" s="96">
        <v>0</v>
      </c>
      <c r="H40" s="96">
        <v>0.25143667087611143</v>
      </c>
      <c r="I40" s="96">
        <v>0.10044933067508389</v>
      </c>
      <c r="J40" s="96">
        <v>0.1592604239182793</v>
      </c>
      <c r="K40" s="96">
        <v>0.23072819063763769</v>
      </c>
      <c r="L40" s="96">
        <v>0.1602223881046401</v>
      </c>
      <c r="M40" s="96">
        <v>0.2430145760867691</v>
      </c>
      <c r="N40" s="96">
        <v>0.21416240297202491</v>
      </c>
      <c r="O40" s="96">
        <v>0.1837882368806435</v>
      </c>
      <c r="P40" s="96">
        <v>0.1962511300997446</v>
      </c>
      <c r="Q40" s="96">
        <v>0.33320243306493341</v>
      </c>
      <c r="R40" s="96">
        <v>0.20513075044843471</v>
      </c>
      <c r="S40" s="96">
        <v>0.1161329556687298</v>
      </c>
      <c r="T40" s="96">
        <v>0.24801022780197449</v>
      </c>
      <c r="U40" s="96">
        <v>0.22362439169167209</v>
      </c>
      <c r="V40" s="96">
        <v>0.2506413552272424</v>
      </c>
      <c r="W40" s="96">
        <v>0.17199075219202589</v>
      </c>
      <c r="X40" s="96">
        <v>0.21865320442542779</v>
      </c>
      <c r="Y40" s="96">
        <v>0.1958331310660878</v>
      </c>
      <c r="Z40" s="97">
        <v>0.2731469211352488</v>
      </c>
    </row>
    <row r="41" spans="1:26" x14ac:dyDescent="0.3">
      <c r="A41" s="134">
        <v>8</v>
      </c>
      <c r="B41" s="95">
        <v>1.2066540250197177E-4</v>
      </c>
      <c r="C41" s="96">
        <v>3.89970267581099E-4</v>
      </c>
      <c r="D41" s="96">
        <v>1.5024882946155159E-2</v>
      </c>
      <c r="E41" s="96">
        <v>9.3582984736613321E-4</v>
      </c>
      <c r="F41" s="96">
        <v>2.7137768999666708E-3</v>
      </c>
      <c r="G41" s="96">
        <v>0</v>
      </c>
      <c r="H41" s="96">
        <v>2.4293932800323307E-4</v>
      </c>
      <c r="I41" s="96">
        <v>2.7467514807638291E-2</v>
      </c>
      <c r="J41" s="96">
        <v>2.487127554020005E-2</v>
      </c>
      <c r="K41" s="96">
        <v>1.356777874735314E-2</v>
      </c>
      <c r="L41" s="96">
        <v>2.2029266896525539E-4</v>
      </c>
      <c r="M41" s="96">
        <v>3.2435625601778982E-3</v>
      </c>
      <c r="N41" s="96">
        <v>5.2643000887705701E-4</v>
      </c>
      <c r="O41" s="96">
        <v>1.1649596415045939E-3</v>
      </c>
      <c r="P41" s="96">
        <v>1.0045759009974259E-3</v>
      </c>
      <c r="Q41" s="96">
        <v>1.5265805575712999E-3</v>
      </c>
      <c r="R41" s="96">
        <v>1.39870140444915E-3</v>
      </c>
      <c r="S41" s="96">
        <v>1.520628888071794E-2</v>
      </c>
      <c r="T41" s="96">
        <v>3.8355862322307951E-3</v>
      </c>
      <c r="U41" s="96">
        <v>1.891915291412274E-3</v>
      </c>
      <c r="V41" s="96">
        <v>7.4102038255214071E-3</v>
      </c>
      <c r="W41" s="96">
        <v>3.9848677516856538E-4</v>
      </c>
      <c r="X41" s="96">
        <v>1.297216902396698E-4</v>
      </c>
      <c r="Y41" s="96">
        <v>8.0553879571171674E-4</v>
      </c>
      <c r="Z41" s="97">
        <v>9.7661399382555233E-4</v>
      </c>
    </row>
    <row r="42" spans="1:26" x14ac:dyDescent="0.3">
      <c r="A42" s="134">
        <v>9</v>
      </c>
      <c r="B42" s="95">
        <v>2.9542517471875557E-2</v>
      </c>
      <c r="C42" s="96">
        <v>5.8390700397720471E-2</v>
      </c>
      <c r="D42" s="96">
        <v>1.7043331891018559E-2</v>
      </c>
      <c r="E42" s="96">
        <v>2.2643414922966159E-2</v>
      </c>
      <c r="F42" s="96">
        <v>3.3583888739082218E-2</v>
      </c>
      <c r="G42" s="96">
        <v>0</v>
      </c>
      <c r="H42" s="96">
        <v>7.4803201040325625E-3</v>
      </c>
      <c r="I42" s="96">
        <v>2.4962355987093031E-2</v>
      </c>
      <c r="J42" s="96">
        <v>0.28658766313544531</v>
      </c>
      <c r="K42" s="96">
        <v>0.1646984146650263</v>
      </c>
      <c r="L42" s="96">
        <v>3.8876422715385738E-2</v>
      </c>
      <c r="M42" s="96">
        <v>6.2472320034362263E-3</v>
      </c>
      <c r="N42" s="96">
        <v>2.757258380654078E-3</v>
      </c>
      <c r="O42" s="96">
        <v>4.202804048547071E-3</v>
      </c>
      <c r="P42" s="96">
        <v>5.3679115155426298E-3</v>
      </c>
      <c r="Q42" s="96">
        <v>8.5210321048727021E-3</v>
      </c>
      <c r="R42" s="96">
        <v>8.421418806740813E-3</v>
      </c>
      <c r="S42" s="96">
        <v>1.734890143218116E-3</v>
      </c>
      <c r="T42" s="96">
        <v>4.4240285646965716E-3</v>
      </c>
      <c r="U42" s="96">
        <v>3.7540117061461417E-2</v>
      </c>
      <c r="V42" s="96">
        <v>5.6921309836203277E-3</v>
      </c>
      <c r="W42" s="96">
        <v>3.4032556524914632E-3</v>
      </c>
      <c r="X42" s="96">
        <v>7.9044607078611953E-2</v>
      </c>
      <c r="Y42" s="96">
        <v>1.4169102128574029E-2</v>
      </c>
      <c r="Z42" s="97">
        <v>8.1007425762811298E-3</v>
      </c>
    </row>
    <row r="43" spans="1:26" ht="16.5" customHeight="1" x14ac:dyDescent="0.3">
      <c r="A43" s="134">
        <v>10</v>
      </c>
      <c r="B43" s="95">
        <v>6.4968331746511479E-5</v>
      </c>
      <c r="C43" s="96">
        <v>5.6168127232145048E-5</v>
      </c>
      <c r="D43" s="96">
        <v>1.4023623600790687E-4</v>
      </c>
      <c r="E43" s="96">
        <v>2.3909216238776341E-4</v>
      </c>
      <c r="F43" s="96">
        <v>7.1958154016022176E-5</v>
      </c>
      <c r="G43" s="96">
        <v>0</v>
      </c>
      <c r="H43" s="96">
        <v>7.3885841390714318E-5</v>
      </c>
      <c r="I43" s="96">
        <v>6.0309356322392146E-5</v>
      </c>
      <c r="J43" s="96">
        <v>3.5535278700016726E-4</v>
      </c>
      <c r="K43" s="96">
        <v>2.3097921245431542E-4</v>
      </c>
      <c r="L43" s="96">
        <v>3.975951915530468E-5</v>
      </c>
      <c r="M43" s="96">
        <v>1.6176986549673866E-3</v>
      </c>
      <c r="N43" s="96">
        <v>1.273555902364258E-3</v>
      </c>
      <c r="O43" s="96">
        <v>4.7050436827129075E-4</v>
      </c>
      <c r="P43" s="96">
        <v>1.9024804259183798E-3</v>
      </c>
      <c r="Q43" s="96">
        <v>7.9060228255434083E-3</v>
      </c>
      <c r="R43" s="96">
        <v>1.6995676205386395E-3</v>
      </c>
      <c r="S43" s="96">
        <v>1.1846410554909159E-5</v>
      </c>
      <c r="T43" s="96">
        <v>6.8811509304374298E-5</v>
      </c>
      <c r="U43" s="96">
        <v>3.1993214435477833E-4</v>
      </c>
      <c r="V43" s="96">
        <v>4.2830590515342322E-4</v>
      </c>
      <c r="W43" s="96">
        <v>6.2075381133510851E-5</v>
      </c>
      <c r="X43" s="96">
        <v>4.2732730454769347E-5</v>
      </c>
      <c r="Y43" s="96">
        <v>1.4961468621482629E-4</v>
      </c>
      <c r="Z43" s="97">
        <v>1.2645271416097928E-4</v>
      </c>
    </row>
    <row r="44" spans="1:26" x14ac:dyDescent="0.3">
      <c r="A44" s="134">
        <v>11</v>
      </c>
      <c r="B44" s="95">
        <v>1.4484177093716548E-2</v>
      </c>
      <c r="C44" s="96">
        <v>2.5603862569102281E-2</v>
      </c>
      <c r="D44" s="96">
        <v>2.7720864708768181E-2</v>
      </c>
      <c r="E44" s="96">
        <v>6.2984282932331159E-2</v>
      </c>
      <c r="F44" s="96">
        <v>0.12199547618087619</v>
      </c>
      <c r="G44" s="96">
        <v>0</v>
      </c>
      <c r="H44" s="96">
        <v>2.1740431130716442E-2</v>
      </c>
      <c r="I44" s="96">
        <v>1.6353183690639189E-2</v>
      </c>
      <c r="J44" s="96">
        <v>4.330404192531824E-2</v>
      </c>
      <c r="K44" s="96">
        <v>4.2805069711458803E-2</v>
      </c>
      <c r="L44" s="96">
        <v>0.33491679370945188</v>
      </c>
      <c r="M44" s="96">
        <v>6.655367448595606E-2</v>
      </c>
      <c r="N44" s="96">
        <v>2.8775742312845669E-2</v>
      </c>
      <c r="O44" s="96">
        <v>4.1370035263765793E-2</v>
      </c>
      <c r="P44" s="96">
        <v>2.4184126210035212E-2</v>
      </c>
      <c r="Q44" s="96">
        <v>4.3423477728635057E-2</v>
      </c>
      <c r="R44" s="96">
        <v>2.1268709155750722E-2</v>
      </c>
      <c r="S44" s="96">
        <v>6.7082702050553413E-3</v>
      </c>
      <c r="T44" s="96">
        <v>1.389986024105677E-2</v>
      </c>
      <c r="U44" s="96">
        <v>2.1620419428627989E-2</v>
      </c>
      <c r="V44" s="96">
        <v>3.6486518490673372E-2</v>
      </c>
      <c r="W44" s="96">
        <v>1.7261211716239049E-2</v>
      </c>
      <c r="X44" s="96">
        <v>3.063454487688308E-2</v>
      </c>
      <c r="Y44" s="96">
        <v>6.0127035812062267E-2</v>
      </c>
      <c r="Z44" s="97">
        <v>4.8210825376972133E-2</v>
      </c>
    </row>
    <row r="45" spans="1:26" x14ac:dyDescent="0.3">
      <c r="A45" s="134">
        <v>12</v>
      </c>
      <c r="B45" s="95">
        <v>3.284712513391257E-3</v>
      </c>
      <c r="C45" s="96">
        <v>3.3666966092440178E-3</v>
      </c>
      <c r="D45" s="96">
        <v>4.2487209772863249E-3</v>
      </c>
      <c r="E45" s="96">
        <v>1.4989049548299915E-2</v>
      </c>
      <c r="F45" s="96">
        <v>3.097368405044037E-3</v>
      </c>
      <c r="G45" s="96">
        <v>0</v>
      </c>
      <c r="H45" s="96">
        <v>2.6568430461954714E-3</v>
      </c>
      <c r="I45" s="96">
        <v>4.7930515256094947E-3</v>
      </c>
      <c r="J45" s="96">
        <v>2.8552494941028982E-3</v>
      </c>
      <c r="K45" s="96">
        <v>4.0292724617025655E-3</v>
      </c>
      <c r="L45" s="96">
        <v>3.3820730896182058E-3</v>
      </c>
      <c r="M45" s="96">
        <v>5.7869293984262292E-3</v>
      </c>
      <c r="N45" s="96">
        <v>9.6384292494756454E-3</v>
      </c>
      <c r="O45" s="96">
        <v>1.678517835302382E-4</v>
      </c>
      <c r="P45" s="96">
        <v>4.5405327085106418E-4</v>
      </c>
      <c r="Q45" s="96">
        <v>9.4607923234597876E-3</v>
      </c>
      <c r="R45" s="96">
        <v>2.5015136233563283E-3</v>
      </c>
      <c r="S45" s="96">
        <v>2.962538586675313E-4</v>
      </c>
      <c r="T45" s="96">
        <v>1.7653168026741048E-3</v>
      </c>
      <c r="U45" s="96">
        <v>2.0554227425624515E-3</v>
      </c>
      <c r="V45" s="96">
        <v>1.3896463499893175E-3</v>
      </c>
      <c r="W45" s="96">
        <v>2.3664985498969842E-3</v>
      </c>
      <c r="X45" s="96">
        <v>1.8435865768938416E-3</v>
      </c>
      <c r="Y45" s="96">
        <v>4.1919120251099305E-3</v>
      </c>
      <c r="Z45" s="97">
        <v>1.7687547121041747E-3</v>
      </c>
    </row>
    <row r="46" spans="1:26" x14ac:dyDescent="0.3">
      <c r="A46" s="134">
        <v>13</v>
      </c>
      <c r="B46" s="95">
        <v>3.669657116926804E-4</v>
      </c>
      <c r="C46" s="96">
        <v>4.864238948489548E-4</v>
      </c>
      <c r="D46" s="96">
        <v>3.0021603746912769E-4</v>
      </c>
      <c r="E46" s="96">
        <v>5.5730983790495405E-4</v>
      </c>
      <c r="F46" s="96">
        <v>4.7738738216998214E-4</v>
      </c>
      <c r="G46" s="96">
        <v>0</v>
      </c>
      <c r="H46" s="96">
        <v>3.686131633027466E-4</v>
      </c>
      <c r="I46" s="96">
        <v>3.7519660920142293E-4</v>
      </c>
      <c r="J46" s="96">
        <v>7.31941401384286E-4</v>
      </c>
      <c r="K46" s="96">
        <v>8.5005741032669253E-4</v>
      </c>
      <c r="L46" s="96">
        <v>3.7171433829156277E-4</v>
      </c>
      <c r="M46" s="96">
        <v>3.543402784481885E-3</v>
      </c>
      <c r="N46" s="96">
        <v>6.79288636123394E-3</v>
      </c>
      <c r="O46" s="96">
        <v>3.8517730902787699E-5</v>
      </c>
      <c r="P46" s="96">
        <v>7.0111862860957252E-5</v>
      </c>
      <c r="Q46" s="96">
        <v>6.6328520490896645E-3</v>
      </c>
      <c r="R46" s="96">
        <v>4.2816822720828901E-4</v>
      </c>
      <c r="S46" s="96">
        <v>6.812002582530475E-5</v>
      </c>
      <c r="T46" s="96">
        <v>9.1974529368291414E-5</v>
      </c>
      <c r="U46" s="96">
        <v>6.740858424025255E-4</v>
      </c>
      <c r="V46" s="96">
        <v>2.374807947004646E-4</v>
      </c>
      <c r="W46" s="96">
        <v>4.5294245703659435E-4</v>
      </c>
      <c r="X46" s="96">
        <v>3.0166431587436957E-4</v>
      </c>
      <c r="Y46" s="96">
        <v>8.0542141119244398E-4</v>
      </c>
      <c r="Z46" s="97">
        <v>4.1394801852660937E-4</v>
      </c>
    </row>
    <row r="47" spans="1:26" ht="17.55" customHeight="1" x14ac:dyDescent="0.3">
      <c r="A47" s="134">
        <v>14</v>
      </c>
      <c r="B47" s="95">
        <v>1.6480050157166124E-3</v>
      </c>
      <c r="C47" s="96">
        <v>2.0684153540459771E-3</v>
      </c>
      <c r="D47" s="96">
        <v>2.3197953071596635E-3</v>
      </c>
      <c r="E47" s="96">
        <v>8.0124390946684637E-3</v>
      </c>
      <c r="F47" s="96">
        <v>1.4477164654337455E-3</v>
      </c>
      <c r="G47" s="96">
        <v>0</v>
      </c>
      <c r="H47" s="96">
        <v>1.2013072995887707E-3</v>
      </c>
      <c r="I47" s="96">
        <v>1.9871342164534873E-3</v>
      </c>
      <c r="J47" s="96">
        <v>2.151109945115789E-3</v>
      </c>
      <c r="K47" s="96">
        <v>4.2329784381597351E-3</v>
      </c>
      <c r="L47" s="96">
        <v>1.4787740024183526E-3</v>
      </c>
      <c r="M47" s="96">
        <v>9.69475370360737E-4</v>
      </c>
      <c r="N47" s="96">
        <v>1.3442574768562359E-3</v>
      </c>
      <c r="O47" s="96">
        <v>2.5108922980215031E-4</v>
      </c>
      <c r="P47" s="96">
        <v>2.6006573078702348E-4</v>
      </c>
      <c r="Q47" s="96">
        <v>1.5273533401838552E-3</v>
      </c>
      <c r="R47" s="96">
        <v>1.3318431659579456E-3</v>
      </c>
      <c r="S47" s="96">
        <v>1.1967887477373842E-4</v>
      </c>
      <c r="T47" s="96">
        <v>1.242262849557838E-3</v>
      </c>
      <c r="U47" s="96">
        <v>4.7833463487513946E-4</v>
      </c>
      <c r="V47" s="96">
        <v>6.6175194979024236E-4</v>
      </c>
      <c r="W47" s="96">
        <v>9.07707250473881E-4</v>
      </c>
      <c r="X47" s="96">
        <v>7.3611268952859256E-4</v>
      </c>
      <c r="Y47" s="96">
        <v>2.2425082953704016E-3</v>
      </c>
      <c r="Z47" s="97">
        <v>1.1626733703300001E-3</v>
      </c>
    </row>
    <row r="48" spans="1:26" x14ac:dyDescent="0.3">
      <c r="A48" s="134">
        <v>15</v>
      </c>
      <c r="B48" s="95">
        <v>2.8028631901254704E-4</v>
      </c>
      <c r="C48" s="96">
        <v>2.7769429451673456E-4</v>
      </c>
      <c r="D48" s="96">
        <v>2.0680908815362692E-3</v>
      </c>
      <c r="E48" s="96">
        <v>1.0284115477529278E-3</v>
      </c>
      <c r="F48" s="96">
        <v>4.1889889503690544E-4</v>
      </c>
      <c r="G48" s="96">
        <v>0</v>
      </c>
      <c r="H48" s="96">
        <v>2.509629867247995E-4</v>
      </c>
      <c r="I48" s="96">
        <v>3.4431150194320546E-3</v>
      </c>
      <c r="J48" s="96">
        <v>4.9652867976173398E-4</v>
      </c>
      <c r="K48" s="96">
        <v>9.8952818951083101E-4</v>
      </c>
      <c r="L48" s="96">
        <v>2.9217561797457894E-4</v>
      </c>
      <c r="M48" s="96">
        <v>1.7912979658891671E-3</v>
      </c>
      <c r="N48" s="96">
        <v>3.5081958193697082E-4</v>
      </c>
      <c r="O48" s="96">
        <v>2.1562367547911919E-4</v>
      </c>
      <c r="P48" s="96">
        <v>4.8547775424215777E-4</v>
      </c>
      <c r="Q48" s="96">
        <v>3.8458605863515806E-4</v>
      </c>
      <c r="R48" s="96">
        <v>6.420608574510962E-4</v>
      </c>
      <c r="S48" s="96">
        <v>8.5310050861311238E-5</v>
      </c>
      <c r="T48" s="96">
        <v>1.2182107950188268E-4</v>
      </c>
      <c r="U48" s="96">
        <v>9.1917201627643937E-5</v>
      </c>
      <c r="V48" s="96">
        <v>6.964401629644696E-4</v>
      </c>
      <c r="W48" s="96">
        <v>1.6530593299062847E-4</v>
      </c>
      <c r="X48" s="96">
        <v>1.2697110752120654E-4</v>
      </c>
      <c r="Y48" s="96">
        <v>2.7121947814713908E-4</v>
      </c>
      <c r="Z48" s="97">
        <v>3.1454705970686416E-4</v>
      </c>
    </row>
    <row r="49" spans="1:26" x14ac:dyDescent="0.3">
      <c r="A49" s="134">
        <v>16</v>
      </c>
      <c r="B49" s="95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X49" s="96">
        <v>0</v>
      </c>
      <c r="Y49" s="96">
        <v>0</v>
      </c>
      <c r="Z49" s="97">
        <v>0</v>
      </c>
    </row>
    <row r="50" spans="1:26" x14ac:dyDescent="0.3">
      <c r="A50" s="134">
        <v>17</v>
      </c>
      <c r="B50" s="95">
        <v>5.6999620016647643E-5</v>
      </c>
      <c r="C50" s="96">
        <v>6.0041708295493766E-5</v>
      </c>
      <c r="D50" s="96">
        <v>4.3977495810703136E-4</v>
      </c>
      <c r="E50" s="96">
        <v>2.1533186135284647E-4</v>
      </c>
      <c r="F50" s="96">
        <v>8.5455765903451379E-5</v>
      </c>
      <c r="G50" s="96">
        <v>0</v>
      </c>
      <c r="H50" s="96">
        <v>4.9107756497942566E-5</v>
      </c>
      <c r="I50" s="96">
        <v>7.3371344578103946E-4</v>
      </c>
      <c r="J50" s="96">
        <v>1.4125434456678456E-4</v>
      </c>
      <c r="K50" s="96">
        <v>2.1978418776787164E-4</v>
      </c>
      <c r="L50" s="96">
        <v>6.2892904564136167E-5</v>
      </c>
      <c r="M50" s="96">
        <v>3.8605540647455074E-4</v>
      </c>
      <c r="N50" s="96">
        <v>9.3111214293657794E-5</v>
      </c>
      <c r="O50" s="96">
        <v>4.8178613503613314E-5</v>
      </c>
      <c r="P50" s="96">
        <v>1.0395850408258574E-4</v>
      </c>
      <c r="Q50" s="96">
        <v>1.0241005978819235E-4</v>
      </c>
      <c r="R50" s="96">
        <v>1.4625867364041138E-4</v>
      </c>
      <c r="S50" s="96">
        <v>2.1956195701451759E-5</v>
      </c>
      <c r="T50" s="96">
        <v>2.5910395985401246E-5</v>
      </c>
      <c r="U50" s="96">
        <v>2.4067499935140539E-5</v>
      </c>
      <c r="V50" s="96">
        <v>1.4944853736673509E-4</v>
      </c>
      <c r="W50" s="96">
        <v>5.0857226020415218E-5</v>
      </c>
      <c r="X50" s="96">
        <v>3.0469154763609974E-5</v>
      </c>
      <c r="Y50" s="96">
        <v>6.8472487791464343E-5</v>
      </c>
      <c r="Z50" s="97">
        <v>8.9128355328641325E-5</v>
      </c>
    </row>
    <row r="51" spans="1:26" ht="16.95" customHeight="1" x14ac:dyDescent="0.3">
      <c r="A51" s="134">
        <v>18</v>
      </c>
      <c r="B51" s="95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0</v>
      </c>
      <c r="P51" s="96">
        <v>0</v>
      </c>
      <c r="Q51" s="96">
        <v>0</v>
      </c>
      <c r="R51" s="96">
        <v>0</v>
      </c>
      <c r="S51" s="96">
        <v>0</v>
      </c>
      <c r="T51" s="96">
        <v>0</v>
      </c>
      <c r="U51" s="96">
        <v>0</v>
      </c>
      <c r="V51" s="96">
        <v>0</v>
      </c>
      <c r="W51" s="96">
        <v>0</v>
      </c>
      <c r="X51" s="96">
        <v>0</v>
      </c>
      <c r="Y51" s="96">
        <v>0</v>
      </c>
      <c r="Z51" s="97">
        <v>0</v>
      </c>
    </row>
    <row r="52" spans="1:26" x14ac:dyDescent="0.3">
      <c r="A52" s="134">
        <v>19</v>
      </c>
      <c r="B52" s="95">
        <v>0</v>
      </c>
      <c r="C52" s="96">
        <v>0</v>
      </c>
      <c r="D52" s="96">
        <v>0</v>
      </c>
      <c r="E52" s="96">
        <v>0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6">
        <v>0</v>
      </c>
      <c r="L52" s="96">
        <v>0</v>
      </c>
      <c r="M52" s="96">
        <v>0</v>
      </c>
      <c r="N52" s="96">
        <v>0</v>
      </c>
      <c r="O52" s="96">
        <v>0</v>
      </c>
      <c r="P52" s="96">
        <v>0</v>
      </c>
      <c r="Q52" s="96">
        <v>0</v>
      </c>
      <c r="R52" s="96">
        <v>0</v>
      </c>
      <c r="S52" s="96">
        <v>0</v>
      </c>
      <c r="T52" s="96">
        <v>0</v>
      </c>
      <c r="U52" s="96">
        <v>0</v>
      </c>
      <c r="V52" s="96">
        <v>0</v>
      </c>
      <c r="W52" s="96">
        <v>0</v>
      </c>
      <c r="X52" s="96">
        <v>0</v>
      </c>
      <c r="Y52" s="96">
        <v>0</v>
      </c>
      <c r="Z52" s="97">
        <v>0</v>
      </c>
    </row>
    <row r="53" spans="1:26" ht="16.95" customHeight="1" x14ac:dyDescent="0.3">
      <c r="A53" s="134">
        <v>20</v>
      </c>
      <c r="B53" s="95">
        <v>0</v>
      </c>
      <c r="C53" s="96">
        <v>0</v>
      </c>
      <c r="D53" s="96">
        <v>0</v>
      </c>
      <c r="E53" s="96">
        <v>0</v>
      </c>
      <c r="F53" s="96">
        <v>0</v>
      </c>
      <c r="G53" s="96">
        <v>0</v>
      </c>
      <c r="H53" s="96">
        <v>0</v>
      </c>
      <c r="I53" s="96">
        <v>0</v>
      </c>
      <c r="J53" s="96">
        <v>0</v>
      </c>
      <c r="K53" s="96">
        <v>0</v>
      </c>
      <c r="L53" s="96">
        <v>0</v>
      </c>
      <c r="M53" s="96">
        <v>0</v>
      </c>
      <c r="N53" s="96">
        <v>0</v>
      </c>
      <c r="O53" s="96">
        <v>0</v>
      </c>
      <c r="P53" s="96">
        <v>0</v>
      </c>
      <c r="Q53" s="96">
        <v>0</v>
      </c>
      <c r="R53" s="96">
        <v>0</v>
      </c>
      <c r="S53" s="96">
        <v>0</v>
      </c>
      <c r="T53" s="96">
        <v>0</v>
      </c>
      <c r="U53" s="96">
        <v>0</v>
      </c>
      <c r="V53" s="96">
        <v>0</v>
      </c>
      <c r="W53" s="96">
        <v>0</v>
      </c>
      <c r="X53" s="96">
        <v>0</v>
      </c>
      <c r="Y53" s="96">
        <v>0</v>
      </c>
      <c r="Z53" s="97">
        <v>0</v>
      </c>
    </row>
    <row r="54" spans="1:26" x14ac:dyDescent="0.3">
      <c r="A54" s="134">
        <v>21</v>
      </c>
      <c r="B54" s="95">
        <v>2.2209164692693514E-2</v>
      </c>
      <c r="C54" s="96">
        <v>1.914142232655431E-2</v>
      </c>
      <c r="D54" s="96">
        <v>2.0247649677415939E-2</v>
      </c>
      <c r="E54" s="96">
        <v>4.6872132726847968E-2</v>
      </c>
      <c r="F54" s="96">
        <v>2.9922517160498451E-2</v>
      </c>
      <c r="G54" s="96">
        <v>0</v>
      </c>
      <c r="H54" s="96">
        <v>1.9320991888484171E-2</v>
      </c>
      <c r="I54" s="96">
        <v>1.422860153261233E-2</v>
      </c>
      <c r="J54" s="96">
        <v>1.528951978824254E-2</v>
      </c>
      <c r="K54" s="96">
        <v>3.1988800569947559E-2</v>
      </c>
      <c r="L54" s="96">
        <v>1.6782679150205749E-2</v>
      </c>
      <c r="M54" s="96">
        <v>2.8496385389400209E-2</v>
      </c>
      <c r="N54" s="96">
        <v>1.217438534684083E-2</v>
      </c>
      <c r="O54" s="96">
        <v>1.186085113027602E-2</v>
      </c>
      <c r="P54" s="96">
        <v>2.479995605860013E-2</v>
      </c>
      <c r="Q54" s="96">
        <v>3.9300428998772403E-2</v>
      </c>
      <c r="R54" s="96">
        <v>2.539293006030505E-2</v>
      </c>
      <c r="S54" s="96">
        <v>3.682202351847999E-2</v>
      </c>
      <c r="T54" s="96">
        <v>4.618485109042033E-2</v>
      </c>
      <c r="U54" s="96">
        <v>5.5577535786091148E-2</v>
      </c>
      <c r="V54" s="96">
        <v>7.6365619622057318E-2</v>
      </c>
      <c r="W54" s="96">
        <v>1.8150182660850951E-2</v>
      </c>
      <c r="X54" s="96">
        <v>1.2231703456506961E-2</v>
      </c>
      <c r="Y54" s="96">
        <v>3.009537230584004E-2</v>
      </c>
      <c r="Z54" s="97">
        <v>3.9467346018847639E-2</v>
      </c>
    </row>
    <row r="55" spans="1:26" x14ac:dyDescent="0.3">
      <c r="A55" s="134">
        <v>22</v>
      </c>
      <c r="B55" s="95">
        <v>2.6363103310189005E-4</v>
      </c>
      <c r="C55" s="96">
        <v>2.4065256568668071E-4</v>
      </c>
      <c r="D55" s="96">
        <v>2.4599557233919361E-4</v>
      </c>
      <c r="E55" s="96">
        <v>3.6961142917616948E-4</v>
      </c>
      <c r="F55" s="96">
        <v>2.6220324911981708E-4</v>
      </c>
      <c r="G55" s="96">
        <v>0</v>
      </c>
      <c r="H55" s="96">
        <v>1.7573224077912378E-3</v>
      </c>
      <c r="I55" s="96">
        <v>1.9724403029211309E-4</v>
      </c>
      <c r="J55" s="96">
        <v>3.5476681661118661E-4</v>
      </c>
      <c r="K55" s="96">
        <v>6.9350940220937868E-4</v>
      </c>
      <c r="L55" s="96">
        <v>3.438259591188827E-4</v>
      </c>
      <c r="M55" s="96">
        <v>6.6644375528981633E-4</v>
      </c>
      <c r="N55" s="96">
        <v>1.2846036414627311E-3</v>
      </c>
      <c r="O55" s="96">
        <v>5.5933385255008377E-4</v>
      </c>
      <c r="P55" s="96">
        <v>1.4619036268246829E-3</v>
      </c>
      <c r="Q55" s="96">
        <v>1.017324574029612E-3</v>
      </c>
      <c r="R55" s="96">
        <v>8.2127116296431071E-4</v>
      </c>
      <c r="S55" s="96">
        <v>1.940454955050995E-3</v>
      </c>
      <c r="T55" s="96">
        <v>2.6109426775632418E-4</v>
      </c>
      <c r="U55" s="96">
        <v>1.909196364172082E-3</v>
      </c>
      <c r="V55" s="96">
        <v>6.6912662550045474E-4</v>
      </c>
      <c r="W55" s="96">
        <v>1.192198268446438E-2</v>
      </c>
      <c r="X55" s="96">
        <v>1.4135707015807001E-3</v>
      </c>
      <c r="Y55" s="96">
        <v>1.9620979026800361E-3</v>
      </c>
      <c r="Z55" s="97">
        <v>1.576168386915677E-3</v>
      </c>
    </row>
    <row r="56" spans="1:26" x14ac:dyDescent="0.3">
      <c r="A56" s="134">
        <v>23</v>
      </c>
      <c r="B56" s="95">
        <v>2.7529415521472365E-4</v>
      </c>
      <c r="C56" s="96">
        <v>2.0441535977423189E-4</v>
      </c>
      <c r="D56" s="96">
        <v>1.5879554792403499E-4</v>
      </c>
      <c r="E56" s="96">
        <v>4.403533532089303E-4</v>
      </c>
      <c r="F56" s="96">
        <v>4.0263152232367018E-4</v>
      </c>
      <c r="G56" s="96">
        <v>0</v>
      </c>
      <c r="H56" s="96">
        <v>1.9694819216883384E-3</v>
      </c>
      <c r="I56" s="96">
        <v>2.0242080825696391E-4</v>
      </c>
      <c r="J56" s="96">
        <v>2.9937009427263611E-4</v>
      </c>
      <c r="K56" s="96">
        <v>8.0925341307877346E-4</v>
      </c>
      <c r="L56" s="96">
        <v>6.9676251086159995E-4</v>
      </c>
      <c r="M56" s="96">
        <v>5.3793287204814927E-4</v>
      </c>
      <c r="N56" s="96">
        <v>3.3677362055066501E-4</v>
      </c>
      <c r="O56" s="96">
        <v>8.8424532245259119E-4</v>
      </c>
      <c r="P56" s="96">
        <v>4.3302384103292461E-4</v>
      </c>
      <c r="Q56" s="96">
        <v>3.2872982425922911E-4</v>
      </c>
      <c r="R56" s="96">
        <v>3.6633293743371028E-4</v>
      </c>
      <c r="S56" s="96">
        <v>4.7077392619808271E-4</v>
      </c>
      <c r="T56" s="96">
        <v>3.4873697412372259E-4</v>
      </c>
      <c r="U56" s="96">
        <v>3.0925258397174318E-4</v>
      </c>
      <c r="V56" s="96">
        <v>2.0499641697104091E-4</v>
      </c>
      <c r="W56" s="96">
        <v>1.2566441712388689E-3</v>
      </c>
      <c r="X56" s="96">
        <v>2.1711104597175901E-2</v>
      </c>
      <c r="Y56" s="96">
        <v>3.4456731297876808E-3</v>
      </c>
      <c r="Z56" s="97">
        <v>2.568270411242041E-3</v>
      </c>
    </row>
    <row r="57" spans="1:26" x14ac:dyDescent="0.3">
      <c r="A57" s="134">
        <v>24</v>
      </c>
      <c r="B57" s="95">
        <v>1.0208108784759551E-2</v>
      </c>
      <c r="C57" s="96">
        <v>4.2158240414675949E-3</v>
      </c>
      <c r="D57" s="96">
        <v>5.4739623713019664E-3</v>
      </c>
      <c r="E57" s="96">
        <v>3.2015688407412558E-3</v>
      </c>
      <c r="F57" s="96">
        <v>2.8375218547417869E-3</v>
      </c>
      <c r="G57" s="96">
        <v>0</v>
      </c>
      <c r="H57" s="96">
        <v>3.5853143370194107E-3</v>
      </c>
      <c r="I57" s="96">
        <v>1.2526283276512019E-3</v>
      </c>
      <c r="J57" s="96">
        <v>3.431271238912991E-3</v>
      </c>
      <c r="K57" s="96">
        <v>2.379388167427813E-3</v>
      </c>
      <c r="L57" s="96">
        <v>1.4069762012374151E-3</v>
      </c>
      <c r="M57" s="96">
        <v>1.4999527056563411E-2</v>
      </c>
      <c r="N57" s="96">
        <v>1.595183041958699E-2</v>
      </c>
      <c r="O57" s="96">
        <v>2.9010208385224591E-2</v>
      </c>
      <c r="P57" s="96">
        <v>3.747673798196057E-3</v>
      </c>
      <c r="Q57" s="96">
        <v>1.7567815282623491E-2</v>
      </c>
      <c r="R57" s="96">
        <v>3.4811933522660402E-3</v>
      </c>
      <c r="S57" s="96">
        <v>6.5371255212567773E-4</v>
      </c>
      <c r="T57" s="96">
        <v>8.8033648607272884E-4</v>
      </c>
      <c r="U57" s="96">
        <v>2.3194502879786911E-3</v>
      </c>
      <c r="V57" s="96">
        <v>3.8051803508505088E-3</v>
      </c>
      <c r="W57" s="96">
        <v>3.7731039005323018E-3</v>
      </c>
      <c r="X57" s="96">
        <v>3.9170567389686453E-3</v>
      </c>
      <c r="Y57" s="96">
        <v>4.6316261225656338E-2</v>
      </c>
      <c r="Z57" s="97">
        <v>7.2473286377713178E-2</v>
      </c>
    </row>
    <row r="58" spans="1:26" ht="15" thickBot="1" x14ac:dyDescent="0.35">
      <c r="A58" s="135">
        <v>25</v>
      </c>
      <c r="B58" s="98">
        <v>3.6432059999285668E-4</v>
      </c>
      <c r="C58" s="99">
        <v>2.3575402106929631E-4</v>
      </c>
      <c r="D58" s="99">
        <v>4.976193979547239E-4</v>
      </c>
      <c r="E58" s="99">
        <v>3.1909637873511098E-4</v>
      </c>
      <c r="F58" s="99">
        <v>4.6580763162781179E-4</v>
      </c>
      <c r="G58" s="99">
        <v>0</v>
      </c>
      <c r="H58" s="99">
        <v>5.3467182520928742E-4</v>
      </c>
      <c r="I58" s="99">
        <v>3.58582726728274E-4</v>
      </c>
      <c r="J58" s="99">
        <v>7.5142131333864892E-4</v>
      </c>
      <c r="K58" s="99">
        <v>6.4544944623498492E-4</v>
      </c>
      <c r="L58" s="99">
        <v>1.7610711465763259E-4</v>
      </c>
      <c r="M58" s="99">
        <v>2.1567165035020499E-4</v>
      </c>
      <c r="N58" s="99">
        <v>4.726797045291247E-4</v>
      </c>
      <c r="O58" s="99">
        <v>6.0856102487954979E-4</v>
      </c>
      <c r="P58" s="99">
        <v>2.8157830766378279E-4</v>
      </c>
      <c r="Q58" s="99">
        <v>4.4962768271646358E-3</v>
      </c>
      <c r="R58" s="99">
        <v>5.6958205677985698E-4</v>
      </c>
      <c r="S58" s="99">
        <v>1.947781040818122E-4</v>
      </c>
      <c r="T58" s="99">
        <v>1.4593615614314639E-4</v>
      </c>
      <c r="U58" s="99">
        <v>1.363638527340174E-4</v>
      </c>
      <c r="V58" s="99">
        <v>3.6596595781180231E-4</v>
      </c>
      <c r="W58" s="99">
        <v>2.005339507003083E-4</v>
      </c>
      <c r="X58" s="99">
        <v>5.8566946999952176E-4</v>
      </c>
      <c r="Y58" s="99">
        <v>8.0550439330272384E-3</v>
      </c>
      <c r="Z58" s="100">
        <v>2.9072618221610089E-2</v>
      </c>
    </row>
    <row r="59" spans="1:26" ht="14.25" customHeight="1" x14ac:dyDescent="0.3"/>
    <row r="60" spans="1:26" ht="14.25" customHeight="1" thickBot="1" x14ac:dyDescent="0.35">
      <c r="A60" s="76" t="s">
        <v>148</v>
      </c>
    </row>
    <row r="61" spans="1:26" ht="15" thickBot="1" x14ac:dyDescent="0.35">
      <c r="A61" s="133" t="s">
        <v>69</v>
      </c>
      <c r="B61" s="16">
        <v>1</v>
      </c>
      <c r="C61" s="16">
        <v>2</v>
      </c>
      <c r="D61" s="16">
        <v>3</v>
      </c>
      <c r="E61" s="16">
        <v>4</v>
      </c>
      <c r="F61" s="16">
        <v>5</v>
      </c>
      <c r="G61" s="16">
        <v>6</v>
      </c>
      <c r="H61" s="16">
        <v>7</v>
      </c>
      <c r="I61" s="16">
        <v>8</v>
      </c>
      <c r="J61" s="16">
        <v>9</v>
      </c>
      <c r="K61" s="16">
        <v>10</v>
      </c>
      <c r="L61" s="16">
        <v>11</v>
      </c>
      <c r="M61" s="16">
        <v>12</v>
      </c>
      <c r="N61" s="16">
        <v>13</v>
      </c>
      <c r="O61" s="16">
        <v>14</v>
      </c>
      <c r="P61" s="16">
        <v>15</v>
      </c>
      <c r="Q61" s="16">
        <v>16</v>
      </c>
      <c r="R61" s="16">
        <v>17</v>
      </c>
      <c r="S61" s="16">
        <v>18</v>
      </c>
      <c r="T61" s="17">
        <v>19</v>
      </c>
      <c r="U61" s="16">
        <v>20</v>
      </c>
      <c r="V61" s="16">
        <v>21</v>
      </c>
      <c r="W61" s="16">
        <v>22</v>
      </c>
      <c r="X61" s="16">
        <v>23</v>
      </c>
      <c r="Y61" s="16">
        <v>24</v>
      </c>
      <c r="Z61" s="18">
        <v>25</v>
      </c>
    </row>
    <row r="62" spans="1:26" x14ac:dyDescent="0.3">
      <c r="A62" s="3">
        <v>1</v>
      </c>
      <c r="B62" s="101">
        <v>0.366764437067015</v>
      </c>
      <c r="C62" s="102">
        <v>5.6936153557802599E-2</v>
      </c>
      <c r="D62" s="102">
        <v>3.4429440165578101E-3</v>
      </c>
      <c r="E62" s="102">
        <v>1.0136938011790201E-2</v>
      </c>
      <c r="F62" s="102">
        <v>6.1847568492036896E-3</v>
      </c>
      <c r="G62" s="102">
        <v>0</v>
      </c>
      <c r="H62" s="102">
        <v>1.8892648103199204E-2</v>
      </c>
      <c r="I62" s="102">
        <v>5.0141643913594099E-3</v>
      </c>
      <c r="J62" s="102">
        <v>3.78155857829022E-2</v>
      </c>
      <c r="K62" s="102">
        <v>3.5500921793597498E-2</v>
      </c>
      <c r="L62" s="102">
        <v>3.3938254570127701E-3</v>
      </c>
      <c r="M62" s="102">
        <v>5.38787293918256E-3</v>
      </c>
      <c r="N62" s="102">
        <v>2.7798432323902201E-3</v>
      </c>
      <c r="O62" s="102">
        <v>5.0381707423904397E-3</v>
      </c>
      <c r="P62" s="102">
        <v>1.433003571615E-2</v>
      </c>
      <c r="Q62" s="102">
        <v>1.80520831719681E-2</v>
      </c>
      <c r="R62" s="102">
        <v>1.2001255766510699E-2</v>
      </c>
      <c r="S62" s="102">
        <v>5.6387895162083701E-4</v>
      </c>
      <c r="T62" s="102">
        <v>4.17798119185452E-3</v>
      </c>
      <c r="U62" s="102">
        <v>1.93280779894325E-3</v>
      </c>
      <c r="V62" s="102">
        <v>9.6009390723815202E-3</v>
      </c>
      <c r="W62" s="102">
        <v>6.8781522715970602E-3</v>
      </c>
      <c r="X62" s="102">
        <v>1.8393202038955399E-2</v>
      </c>
      <c r="Y62" s="102">
        <v>8.3612088645359101E-3</v>
      </c>
      <c r="Z62" s="103">
        <v>5.6125556400721203E-3</v>
      </c>
    </row>
    <row r="63" spans="1:26" ht="14.55" customHeight="1" x14ac:dyDescent="0.3">
      <c r="A63" s="134">
        <v>2</v>
      </c>
      <c r="B63" s="104">
        <v>1.04732142425419E-2</v>
      </c>
      <c r="C63" s="105">
        <v>0.32533491598964098</v>
      </c>
      <c r="D63" s="105">
        <v>1.1274200567743199E-3</v>
      </c>
      <c r="E63" s="105">
        <v>3.6428530507204501E-3</v>
      </c>
      <c r="F63" s="105">
        <v>1.1908302211003099E-2</v>
      </c>
      <c r="G63" s="105">
        <v>0</v>
      </c>
      <c r="H63" s="105">
        <v>7.5300047685027448E-3</v>
      </c>
      <c r="I63" s="105">
        <v>8.0281680797446796E-4</v>
      </c>
      <c r="J63" s="105">
        <v>2.91293409170361E-2</v>
      </c>
      <c r="K63" s="105">
        <v>1.09827113608068E-2</v>
      </c>
      <c r="L63" s="105">
        <v>1.1185089989074099E-2</v>
      </c>
      <c r="M63" s="105">
        <v>2.7317750252387999E-3</v>
      </c>
      <c r="N63" s="105">
        <v>1.28259747826954E-3</v>
      </c>
      <c r="O63" s="105">
        <v>4.3773198457663998E-3</v>
      </c>
      <c r="P63" s="105">
        <v>1.71678681885088E-3</v>
      </c>
      <c r="Q63" s="105">
        <v>9.0282009988773906E-3</v>
      </c>
      <c r="R63" s="105">
        <v>7.6668994737295899E-3</v>
      </c>
      <c r="S63" s="105">
        <v>4.9298127979361599E-4</v>
      </c>
      <c r="T63" s="105">
        <v>2.52991793737436E-3</v>
      </c>
      <c r="U63" s="105">
        <v>1.9467408261539601E-3</v>
      </c>
      <c r="V63" s="105">
        <v>3.1147483776872101E-3</v>
      </c>
      <c r="W63" s="105">
        <v>3.5739834279721601E-3</v>
      </c>
      <c r="X63" s="105">
        <v>1.0387486423615099E-2</v>
      </c>
      <c r="Y63" s="105">
        <v>6.4463070778641701E-3</v>
      </c>
      <c r="Z63" s="106">
        <v>4.7815925112398502E-3</v>
      </c>
    </row>
    <row r="64" spans="1:26" x14ac:dyDescent="0.3">
      <c r="A64" s="134">
        <v>3</v>
      </c>
      <c r="B64" s="104">
        <v>7.9741414354581302E-3</v>
      </c>
      <c r="C64" s="105">
        <v>1.2601759445447201E-2</v>
      </c>
      <c r="D64" s="105">
        <v>0.25633395599126496</v>
      </c>
      <c r="E64" s="105">
        <v>3.1503626413804303E-2</v>
      </c>
      <c r="F64" s="105">
        <v>2.1452210571590014E-2</v>
      </c>
      <c r="G64" s="105">
        <v>0</v>
      </c>
      <c r="H64" s="105">
        <v>6.4054215359671792E-3</v>
      </c>
      <c r="I64" s="105">
        <v>0.45605650380277873</v>
      </c>
      <c r="J64" s="105">
        <v>2.0114316539095685E-2</v>
      </c>
      <c r="K64" s="105">
        <v>6.9653026831964865E-2</v>
      </c>
      <c r="L64" s="105">
        <v>8.0656454195800111E-3</v>
      </c>
      <c r="M64" s="105">
        <v>0.181977857381871</v>
      </c>
      <c r="N64" s="105">
        <v>6.1408266537033305E-3</v>
      </c>
      <c r="O64" s="105">
        <v>1.3929085287135993E-2</v>
      </c>
      <c r="P64" s="105">
        <v>1.335207149269047E-2</v>
      </c>
      <c r="Q64" s="105">
        <v>2.5816883586223801E-2</v>
      </c>
      <c r="R64" s="105">
        <v>1.2008899936644302E-2</v>
      </c>
      <c r="S64" s="105">
        <v>0.332437162519094</v>
      </c>
      <c r="T64" s="105">
        <v>9.5223079450082099E-2</v>
      </c>
      <c r="U64" s="105">
        <v>1.7132926555936397E-2</v>
      </c>
      <c r="V64" s="105">
        <v>7.2551178330578656E-2</v>
      </c>
      <c r="W64" s="105">
        <v>4.7664127319577603E-3</v>
      </c>
      <c r="X64" s="105">
        <v>2.6573716015599702E-3</v>
      </c>
      <c r="Y64" s="105">
        <v>1.16014430063512E-2</v>
      </c>
      <c r="Z64" s="106">
        <v>8.298462108092302E-3</v>
      </c>
    </row>
    <row r="65" spans="1:26" x14ac:dyDescent="0.3">
      <c r="A65" s="134">
        <v>4</v>
      </c>
      <c r="B65" s="104">
        <v>1.43220520971863E-3</v>
      </c>
      <c r="C65" s="105">
        <v>1.4268957582058001E-3</v>
      </c>
      <c r="D65" s="105">
        <v>1.9578642921931101E-3</v>
      </c>
      <c r="E65" s="105">
        <v>6.4914503403267501E-2</v>
      </c>
      <c r="F65" s="105">
        <v>2.7359926129808199E-2</v>
      </c>
      <c r="G65" s="105">
        <v>0</v>
      </c>
      <c r="H65" s="105">
        <v>6.0594785327105041E-4</v>
      </c>
      <c r="I65" s="105">
        <v>3.45204015330406E-3</v>
      </c>
      <c r="J65" s="105">
        <v>1.46930932970751E-2</v>
      </c>
      <c r="K65" s="105">
        <v>1.34364995746756E-2</v>
      </c>
      <c r="L65" s="105">
        <v>4.0082774588121699E-3</v>
      </c>
      <c r="M65" s="105">
        <v>1.9221834512063701E-3</v>
      </c>
      <c r="N65" s="105">
        <v>1.74522103786469E-3</v>
      </c>
      <c r="O65" s="105">
        <v>6.4760180242956402E-3</v>
      </c>
      <c r="P65" s="105">
        <v>2.55245766891448E-3</v>
      </c>
      <c r="Q65" s="105">
        <v>2.6580861581568002E-3</v>
      </c>
      <c r="R65" s="105">
        <v>1.0069468126353299E-2</v>
      </c>
      <c r="S65" s="105">
        <v>8.0348899423680306E-5</v>
      </c>
      <c r="T65" s="105">
        <v>1.0652903788578499E-2</v>
      </c>
      <c r="U65" s="105">
        <v>3.3371316911224901E-3</v>
      </c>
      <c r="V65" s="105">
        <v>4.1413067272714799E-4</v>
      </c>
      <c r="W65" s="105">
        <v>3.8421553593666899E-4</v>
      </c>
      <c r="X65" s="105">
        <v>5.9443271960444297E-4</v>
      </c>
      <c r="Y65" s="105">
        <v>3.12235208334051E-3</v>
      </c>
      <c r="Z65" s="106">
        <v>1.4937170851287199E-3</v>
      </c>
    </row>
    <row r="66" spans="1:26" x14ac:dyDescent="0.3">
      <c r="A66" s="134">
        <v>5</v>
      </c>
      <c r="B66" s="104">
        <v>1.01475217764049E-2</v>
      </c>
      <c r="C66" s="105">
        <v>3.9196032697089302E-2</v>
      </c>
      <c r="D66" s="105">
        <v>1.80121453218463E-2</v>
      </c>
      <c r="E66" s="105">
        <v>3.2964558147885299E-2</v>
      </c>
      <c r="F66" s="105">
        <v>0.20824782128307301</v>
      </c>
      <c r="G66" s="105">
        <v>0</v>
      </c>
      <c r="H66" s="105">
        <v>1.5095720023656471E-2</v>
      </c>
      <c r="I66" s="105">
        <v>8.07734178908108E-3</v>
      </c>
      <c r="J66" s="105">
        <v>7.8244868195230896E-2</v>
      </c>
      <c r="K66" s="105">
        <v>2.3383465843341202E-2</v>
      </c>
      <c r="L66" s="105">
        <v>0.103790955887217</v>
      </c>
      <c r="M66" s="105">
        <v>2.8739885738178199E-2</v>
      </c>
      <c r="N66" s="105">
        <v>4.0069082549776203E-2</v>
      </c>
      <c r="O66" s="105">
        <v>3.77958483200901E-2</v>
      </c>
      <c r="P66" s="105">
        <v>2.94677155712629E-2</v>
      </c>
      <c r="Q66" s="105">
        <v>5.6097606382478099E-2</v>
      </c>
      <c r="R66" s="105">
        <v>5.1733170223390003E-2</v>
      </c>
      <c r="S66" s="105">
        <v>2.4652455728991499E-2</v>
      </c>
      <c r="T66" s="105">
        <v>2.6187940076536801E-2</v>
      </c>
      <c r="U66" s="105">
        <v>3.6790206094792603E-2</v>
      </c>
      <c r="V66" s="105">
        <v>6.3422188079354297E-3</v>
      </c>
      <c r="W66" s="105">
        <v>1.16014832965618E-2</v>
      </c>
      <c r="X66" s="105">
        <v>1.2625299393220799E-2</v>
      </c>
      <c r="Y66" s="105">
        <v>4.9311057453861599E-2</v>
      </c>
      <c r="Z66" s="106">
        <v>2.8965603231233299E-2</v>
      </c>
    </row>
    <row r="67" spans="1:26" x14ac:dyDescent="0.3">
      <c r="A67" s="134">
        <v>6</v>
      </c>
      <c r="B67" s="104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6">
        <v>0</v>
      </c>
    </row>
    <row r="68" spans="1:26" x14ac:dyDescent="0.3">
      <c r="A68" s="134">
        <v>7</v>
      </c>
      <c r="B68" s="104">
        <v>0.16028201364348199</v>
      </c>
      <c r="C68" s="105">
        <v>0.140644419374166</v>
      </c>
      <c r="D68" s="105">
        <v>0.133159876791589</v>
      </c>
      <c r="E68" s="105">
        <v>0.20167080261919701</v>
      </c>
      <c r="F68" s="105">
        <v>0.15957594232281</v>
      </c>
      <c r="G68" s="105">
        <v>0</v>
      </c>
      <c r="H68" s="105">
        <v>0.29113719785655012</v>
      </c>
      <c r="I68" s="105">
        <v>0.10044933067508401</v>
      </c>
      <c r="J68" s="105">
        <v>0.15926042391827899</v>
      </c>
      <c r="K68" s="105">
        <v>0.230728190637638</v>
      </c>
      <c r="L68" s="105">
        <v>0.16022238810464001</v>
      </c>
      <c r="M68" s="105">
        <v>0.24301457608676899</v>
      </c>
      <c r="N68" s="105">
        <v>0.21416240297202499</v>
      </c>
      <c r="O68" s="105">
        <v>0.183788236880644</v>
      </c>
      <c r="P68" s="105">
        <v>0.19625113009974501</v>
      </c>
      <c r="Q68" s="105">
        <v>0.33320243306493302</v>
      </c>
      <c r="R68" s="105">
        <v>0.20513075044843501</v>
      </c>
      <c r="S68" s="105">
        <v>0.11613295566873</v>
      </c>
      <c r="T68" s="105">
        <v>0.24801022780197499</v>
      </c>
      <c r="U68" s="105">
        <v>0.223624391691672</v>
      </c>
      <c r="V68" s="105">
        <v>0.25064135522724201</v>
      </c>
      <c r="W68" s="105">
        <v>0.171990752192026</v>
      </c>
      <c r="X68" s="105">
        <v>0.21865320442542799</v>
      </c>
      <c r="Y68" s="105">
        <v>0.19583313106608799</v>
      </c>
      <c r="Z68" s="106">
        <v>0.27314692113524902</v>
      </c>
    </row>
    <row r="69" spans="1:26" x14ac:dyDescent="0.3">
      <c r="A69" s="134">
        <v>8</v>
      </c>
      <c r="B69" s="104">
        <v>1.20665402501972E-4</v>
      </c>
      <c r="C69" s="105">
        <v>3.89970267581099E-4</v>
      </c>
      <c r="D69" s="105">
        <v>1.5024882946155199E-2</v>
      </c>
      <c r="E69" s="105">
        <v>9.3582984736613299E-4</v>
      </c>
      <c r="F69" s="105">
        <v>2.71377689996667E-3</v>
      </c>
      <c r="G69" s="105">
        <v>0</v>
      </c>
      <c r="H69" s="105">
        <v>2.8129816926690163E-4</v>
      </c>
      <c r="I69" s="105">
        <v>2.7467514807638298E-2</v>
      </c>
      <c r="J69" s="105">
        <v>2.4871275540200102E-2</v>
      </c>
      <c r="K69" s="105">
        <v>1.35677787473531E-2</v>
      </c>
      <c r="L69" s="105">
        <v>2.2029266896525499E-4</v>
      </c>
      <c r="M69" s="105">
        <v>3.2435625601778999E-3</v>
      </c>
      <c r="N69" s="105">
        <v>5.2643000887705701E-4</v>
      </c>
      <c r="O69" s="105">
        <v>1.16495964150459E-3</v>
      </c>
      <c r="P69" s="105">
        <v>1.00457590099743E-3</v>
      </c>
      <c r="Q69" s="105">
        <v>1.5265805575712999E-3</v>
      </c>
      <c r="R69" s="105">
        <v>1.39870140444915E-3</v>
      </c>
      <c r="S69" s="105">
        <v>1.52062888807179E-2</v>
      </c>
      <c r="T69" s="105">
        <v>3.8355862322307999E-3</v>
      </c>
      <c r="U69" s="105">
        <v>1.8919152914122701E-3</v>
      </c>
      <c r="V69" s="105">
        <v>7.4102038255214097E-3</v>
      </c>
      <c r="W69" s="105">
        <v>3.98486775168565E-4</v>
      </c>
      <c r="X69" s="105">
        <v>1.2972169023967001E-4</v>
      </c>
      <c r="Y69" s="105">
        <v>8.0553879571171696E-4</v>
      </c>
      <c r="Z69" s="106">
        <v>9.7661399382555189E-4</v>
      </c>
    </row>
    <row r="70" spans="1:26" x14ac:dyDescent="0.3">
      <c r="A70" s="134">
        <v>9</v>
      </c>
      <c r="B70" s="104">
        <v>2.9542517471875598E-2</v>
      </c>
      <c r="C70" s="105">
        <v>5.8390700397720499E-2</v>
      </c>
      <c r="D70" s="105">
        <v>1.7043331891018601E-2</v>
      </c>
      <c r="E70" s="105">
        <v>2.2643414922966201E-2</v>
      </c>
      <c r="F70" s="105">
        <v>3.3583888739082197E-2</v>
      </c>
      <c r="G70" s="105">
        <v>0</v>
      </c>
      <c r="H70" s="105">
        <v>8.6614232783534945E-3</v>
      </c>
      <c r="I70" s="105">
        <v>2.4962355987093E-2</v>
      </c>
      <c r="J70" s="105">
        <v>0.28658766313544498</v>
      </c>
      <c r="K70" s="105">
        <v>0.16469841466502599</v>
      </c>
      <c r="L70" s="105">
        <v>3.8876422715385703E-2</v>
      </c>
      <c r="M70" s="105">
        <v>6.2472320034362297E-3</v>
      </c>
      <c r="N70" s="105">
        <v>2.7572583806540801E-3</v>
      </c>
      <c r="O70" s="105">
        <v>4.2028040485470701E-3</v>
      </c>
      <c r="P70" s="105">
        <v>5.3679115155426298E-3</v>
      </c>
      <c r="Q70" s="105">
        <v>8.5210321048727004E-3</v>
      </c>
      <c r="R70" s="105">
        <v>8.4214188067408095E-3</v>
      </c>
      <c r="S70" s="105">
        <v>1.7348901432181201E-3</v>
      </c>
      <c r="T70" s="105">
        <v>4.4240285646965699E-3</v>
      </c>
      <c r="U70" s="105">
        <v>3.7540117061461403E-2</v>
      </c>
      <c r="V70" s="105">
        <v>5.6921309836203303E-3</v>
      </c>
      <c r="W70" s="105">
        <v>3.4032556524914602E-3</v>
      </c>
      <c r="X70" s="105">
        <v>7.9044607078611995E-2</v>
      </c>
      <c r="Y70" s="105">
        <v>1.4169102128574E-2</v>
      </c>
      <c r="Z70" s="106">
        <v>8.1007425762811298E-3</v>
      </c>
    </row>
    <row r="71" spans="1:26" ht="16.5" customHeight="1" x14ac:dyDescent="0.3">
      <c r="A71" s="134">
        <v>10</v>
      </c>
      <c r="B71" s="104">
        <v>6.4968331746511506E-5</v>
      </c>
      <c r="C71" s="105">
        <v>5.6168127232145109E-5</v>
      </c>
      <c r="D71" s="105">
        <v>1.4023623600790649E-4</v>
      </c>
      <c r="E71" s="105">
        <v>2.3909216238776301E-4</v>
      </c>
      <c r="F71" s="105">
        <v>7.1958154016022217E-5</v>
      </c>
      <c r="G71" s="105">
        <v>0</v>
      </c>
      <c r="H71" s="105">
        <v>8.5552026873458723E-5</v>
      </c>
      <c r="I71" s="105">
        <v>6.0309356322392194E-5</v>
      </c>
      <c r="J71" s="105">
        <v>3.5535278700016742E-4</v>
      </c>
      <c r="K71" s="105">
        <v>2.3097921245431559E-4</v>
      </c>
      <c r="L71" s="105">
        <v>3.9759519155304687E-5</v>
      </c>
      <c r="M71" s="105">
        <v>1.6176986549673842E-3</v>
      </c>
      <c r="N71" s="105">
        <v>1.2735559023642599E-3</v>
      </c>
      <c r="O71" s="105">
        <v>4.7050436827129059E-4</v>
      </c>
      <c r="P71" s="105">
        <v>1.9024804259183791E-3</v>
      </c>
      <c r="Q71" s="105">
        <v>7.9060228255434101E-3</v>
      </c>
      <c r="R71" s="105">
        <v>1.6995676205386443E-3</v>
      </c>
      <c r="S71" s="105">
        <v>1.18464105549092E-5</v>
      </c>
      <c r="T71" s="105">
        <v>6.8811509304374298E-5</v>
      </c>
      <c r="U71" s="105">
        <v>3.1993214435477801E-4</v>
      </c>
      <c r="V71" s="105">
        <v>4.28305905153423E-4</v>
      </c>
      <c r="W71" s="105">
        <v>6.2075381133510905E-5</v>
      </c>
      <c r="X71" s="105">
        <v>4.2732730454769401E-5</v>
      </c>
      <c r="Y71" s="105">
        <v>1.4961468621482599E-4</v>
      </c>
      <c r="Z71" s="106">
        <v>1.264527141609789E-4</v>
      </c>
    </row>
    <row r="72" spans="1:26" x14ac:dyDescent="0.3">
      <c r="A72" s="134">
        <v>11</v>
      </c>
      <c r="B72" s="104">
        <v>1.4484177093716501E-2</v>
      </c>
      <c r="C72" s="105">
        <v>2.5603862569102302E-2</v>
      </c>
      <c r="D72" s="105">
        <v>2.7720864708768202E-2</v>
      </c>
      <c r="E72" s="105">
        <v>6.2984282932331201E-2</v>
      </c>
      <c r="F72" s="105">
        <v>0.121995476180876</v>
      </c>
      <c r="G72" s="105">
        <v>0</v>
      </c>
      <c r="H72" s="105">
        <v>2.5173130782934861E-2</v>
      </c>
      <c r="I72" s="105">
        <v>1.6353183690639199E-2</v>
      </c>
      <c r="J72" s="105">
        <v>4.3304041925318199E-2</v>
      </c>
      <c r="K72" s="105">
        <v>4.2805069711458803E-2</v>
      </c>
      <c r="L72" s="105">
        <v>0.33491679370945199</v>
      </c>
      <c r="M72" s="105">
        <v>6.6553674485956102E-2</v>
      </c>
      <c r="N72" s="105">
        <v>2.8775742312845701E-2</v>
      </c>
      <c r="O72" s="105">
        <v>4.13700352637658E-2</v>
      </c>
      <c r="P72" s="105">
        <v>2.4184126210035201E-2</v>
      </c>
      <c r="Q72" s="105">
        <v>4.3423477728635099E-2</v>
      </c>
      <c r="R72" s="105">
        <v>2.1268709155750701E-2</v>
      </c>
      <c r="S72" s="105">
        <v>6.7082702050553396E-3</v>
      </c>
      <c r="T72" s="105">
        <v>1.38998602410568E-2</v>
      </c>
      <c r="U72" s="105">
        <v>2.1620419428628E-2</v>
      </c>
      <c r="V72" s="105">
        <v>3.64865184906734E-2</v>
      </c>
      <c r="W72" s="105">
        <v>1.7261211716239101E-2</v>
      </c>
      <c r="X72" s="105">
        <v>3.0634544876883101E-2</v>
      </c>
      <c r="Y72" s="105">
        <v>6.0127035812062302E-2</v>
      </c>
      <c r="Z72" s="106">
        <v>4.8210825376972098E-2</v>
      </c>
    </row>
    <row r="73" spans="1:26" x14ac:dyDescent="0.3">
      <c r="A73" s="134">
        <v>12</v>
      </c>
      <c r="B73" s="104">
        <v>3.132555394100226E-3</v>
      </c>
      <c r="C73" s="105">
        <v>3.16500785131308E-3</v>
      </c>
      <c r="D73" s="105">
        <v>4.1242406621757781E-3</v>
      </c>
      <c r="E73" s="105">
        <v>1.475796894107634E-2</v>
      </c>
      <c r="F73" s="105">
        <v>2.89942650872403E-3</v>
      </c>
      <c r="G73" s="105">
        <v>0</v>
      </c>
      <c r="H73" s="105">
        <v>2.8993717031027041E-3</v>
      </c>
      <c r="I73" s="105">
        <v>4.6374815815934155E-3</v>
      </c>
      <c r="J73" s="105">
        <v>2.5517603898736201E-3</v>
      </c>
      <c r="K73" s="105">
        <v>3.676808232304422E-3</v>
      </c>
      <c r="L73" s="105">
        <v>3.2279470197662582E-3</v>
      </c>
      <c r="M73" s="105">
        <v>4.3177077709132556E-3</v>
      </c>
      <c r="N73" s="105">
        <v>6.8218554185607008E-3</v>
      </c>
      <c r="O73" s="105">
        <v>1.518809535887658E-4</v>
      </c>
      <c r="P73" s="105">
        <v>4.2498238291485002E-4</v>
      </c>
      <c r="Q73" s="105">
        <v>6.7105744466509796E-3</v>
      </c>
      <c r="R73" s="105">
        <v>2.3239797504409198E-3</v>
      </c>
      <c r="S73" s="105">
        <v>2.6800885766239859E-4</v>
      </c>
      <c r="T73" s="105">
        <v>1.7271808706485318E-3</v>
      </c>
      <c r="U73" s="105">
        <v>1.775922623977176E-3</v>
      </c>
      <c r="V73" s="105">
        <v>1.291178312084928E-3</v>
      </c>
      <c r="W73" s="105">
        <v>2.178692394522432E-3</v>
      </c>
      <c r="X73" s="105">
        <v>1.718505753716598E-3</v>
      </c>
      <c r="Y73" s="105">
        <v>3.8579554786601937E-3</v>
      </c>
      <c r="Z73" s="106">
        <v>1.5971170467083758E-3</v>
      </c>
    </row>
    <row r="74" spans="1:26" x14ac:dyDescent="0.3">
      <c r="A74" s="134">
        <v>13</v>
      </c>
      <c r="B74" s="104">
        <v>7.3393142338536101E-4</v>
      </c>
      <c r="C74" s="105">
        <v>9.7284778969791003E-4</v>
      </c>
      <c r="D74" s="105">
        <v>6.0043207493825496E-4</v>
      </c>
      <c r="E74" s="105">
        <v>1.1146196758099101E-3</v>
      </c>
      <c r="F74" s="105">
        <v>9.5477476433996396E-4</v>
      </c>
      <c r="G74" s="105">
        <v>0</v>
      </c>
      <c r="H74" s="105">
        <v>8.5363048343794015E-4</v>
      </c>
      <c r="I74" s="105">
        <v>7.5039321840284596E-4</v>
      </c>
      <c r="J74" s="105">
        <v>1.4638828027685701E-3</v>
      </c>
      <c r="K74" s="105">
        <v>1.7001148206533903E-3</v>
      </c>
      <c r="L74" s="105">
        <v>7.4342867658312587E-4</v>
      </c>
      <c r="M74" s="105">
        <v>7.0868055689637692E-3</v>
      </c>
      <c r="N74" s="105">
        <v>1.3585772722467901E-2</v>
      </c>
      <c r="O74" s="105">
        <v>7.7035461805575399E-5</v>
      </c>
      <c r="P74" s="105">
        <v>1.4022372572191499E-4</v>
      </c>
      <c r="Q74" s="105">
        <v>1.3265704098179299E-2</v>
      </c>
      <c r="R74" s="105">
        <v>8.5633645441657812E-4</v>
      </c>
      <c r="S74" s="105">
        <v>1.3624005165060999E-4</v>
      </c>
      <c r="T74" s="105">
        <v>1.8394905873658299E-4</v>
      </c>
      <c r="U74" s="105">
        <v>1.3481716848050499E-3</v>
      </c>
      <c r="V74" s="105">
        <v>4.7496158940092903E-4</v>
      </c>
      <c r="W74" s="105">
        <v>9.0588491407318913E-4</v>
      </c>
      <c r="X74" s="105">
        <v>6.0332863174873902E-4</v>
      </c>
      <c r="Y74" s="105">
        <v>1.6108428223848899E-3</v>
      </c>
      <c r="Z74" s="106">
        <v>8.2789603705321884E-4</v>
      </c>
    </row>
    <row r="75" spans="1:26" ht="17.55" customHeight="1" x14ac:dyDescent="0.3">
      <c r="A75" s="134">
        <v>14</v>
      </c>
      <c r="B75" s="104">
        <v>1.6480050157166083E-3</v>
      </c>
      <c r="C75" s="105">
        <v>2.0684153540459797E-3</v>
      </c>
      <c r="D75" s="105">
        <v>2.3197953071596657E-3</v>
      </c>
      <c r="E75" s="105">
        <v>8.012439094668462E-3</v>
      </c>
      <c r="F75" s="105">
        <v>1.4477164654337459E-3</v>
      </c>
      <c r="G75" s="105">
        <v>0</v>
      </c>
      <c r="H75" s="105">
        <v>1.3909873995238394E-3</v>
      </c>
      <c r="I75" s="105">
        <v>1.9871342164534899E-3</v>
      </c>
      <c r="J75" s="105">
        <v>2.1511099451157856E-3</v>
      </c>
      <c r="K75" s="105">
        <v>4.2329784381597377E-3</v>
      </c>
      <c r="L75" s="105">
        <v>1.4787740024183522E-3</v>
      </c>
      <c r="M75" s="105">
        <v>9.6947537036073776E-4</v>
      </c>
      <c r="N75" s="105">
        <v>1.3442574768562359E-3</v>
      </c>
      <c r="O75" s="105">
        <v>2.5108922980214993E-4</v>
      </c>
      <c r="P75" s="105">
        <v>2.6006573078702342E-4</v>
      </c>
      <c r="Q75" s="105">
        <v>1.5273533401838609E-3</v>
      </c>
      <c r="R75" s="105">
        <v>1.3318431659579456E-3</v>
      </c>
      <c r="S75" s="105">
        <v>1.1967887477373837E-4</v>
      </c>
      <c r="T75" s="105">
        <v>1.2422628495578371E-3</v>
      </c>
      <c r="U75" s="105">
        <v>4.7833463487513984E-4</v>
      </c>
      <c r="V75" s="105">
        <v>6.617519497902429E-4</v>
      </c>
      <c r="W75" s="105">
        <v>9.0770725047388133E-4</v>
      </c>
      <c r="X75" s="105">
        <v>7.3611268952859311E-4</v>
      </c>
      <c r="Y75" s="105">
        <v>2.2425082953704003E-3</v>
      </c>
      <c r="Z75" s="106">
        <v>1.1626733703299994E-3</v>
      </c>
    </row>
    <row r="76" spans="1:26" x14ac:dyDescent="0.3">
      <c r="A76" s="134">
        <v>15</v>
      </c>
      <c r="B76" s="104">
        <v>2.8028631901254742E-4</v>
      </c>
      <c r="C76" s="105">
        <v>2.7769429451673483E-4</v>
      </c>
      <c r="D76" s="105">
        <v>2.0680908815362761E-3</v>
      </c>
      <c r="E76" s="105">
        <v>1.0284115477529271E-3</v>
      </c>
      <c r="F76" s="105">
        <v>4.1889889503690599E-4</v>
      </c>
      <c r="G76" s="105">
        <v>0</v>
      </c>
      <c r="H76" s="105">
        <v>2.9058872147082068E-4</v>
      </c>
      <c r="I76" s="105">
        <v>3.4431150194320624E-3</v>
      </c>
      <c r="J76" s="105">
        <v>4.9652867976173484E-4</v>
      </c>
      <c r="K76" s="105">
        <v>9.8952818951083231E-4</v>
      </c>
      <c r="L76" s="105">
        <v>2.9217561797457905E-4</v>
      </c>
      <c r="M76" s="105">
        <v>1.7912979658891675E-3</v>
      </c>
      <c r="N76" s="105">
        <v>3.5081958193697099E-4</v>
      </c>
      <c r="O76" s="105">
        <v>2.1562367547911933E-4</v>
      </c>
      <c r="P76" s="105">
        <v>4.8547775424215875E-4</v>
      </c>
      <c r="Q76" s="105">
        <v>3.8458605863515952E-4</v>
      </c>
      <c r="R76" s="105">
        <v>6.4206085745109804E-4</v>
      </c>
      <c r="S76" s="105">
        <v>8.5310050861311224E-5</v>
      </c>
      <c r="T76" s="105">
        <v>1.2182107950188263E-4</v>
      </c>
      <c r="U76" s="105">
        <v>9.19172016276441E-5</v>
      </c>
      <c r="V76" s="105">
        <v>6.9644016296447101E-4</v>
      </c>
      <c r="W76" s="105">
        <v>1.6530593299062858E-4</v>
      </c>
      <c r="X76" s="105">
        <v>1.2697110752120654E-4</v>
      </c>
      <c r="Y76" s="105">
        <v>2.7121947814713924E-4</v>
      </c>
      <c r="Z76" s="106">
        <v>3.1454705970686443E-4</v>
      </c>
    </row>
    <row r="77" spans="1:26" x14ac:dyDescent="0.3">
      <c r="A77" s="134">
        <v>16</v>
      </c>
      <c r="B77" s="104">
        <v>0</v>
      </c>
      <c r="C77" s="105">
        <v>0</v>
      </c>
      <c r="D77" s="105">
        <v>0</v>
      </c>
      <c r="E77" s="105">
        <v>0</v>
      </c>
      <c r="F77" s="105">
        <v>0</v>
      </c>
      <c r="G77" s="105">
        <v>0</v>
      </c>
      <c r="H77" s="105">
        <v>0</v>
      </c>
      <c r="I77" s="105">
        <v>0</v>
      </c>
      <c r="J77" s="105">
        <v>0</v>
      </c>
      <c r="K77" s="105">
        <v>0</v>
      </c>
      <c r="L77" s="105">
        <v>0</v>
      </c>
      <c r="M77" s="105">
        <v>0</v>
      </c>
      <c r="N77" s="105">
        <v>0</v>
      </c>
      <c r="O77" s="105">
        <v>0</v>
      </c>
      <c r="P77" s="105">
        <v>0</v>
      </c>
      <c r="Q77" s="105">
        <v>0</v>
      </c>
      <c r="R77" s="105">
        <v>0</v>
      </c>
      <c r="S77" s="105">
        <v>0</v>
      </c>
      <c r="T77" s="105">
        <v>0</v>
      </c>
      <c r="U77" s="105">
        <v>0</v>
      </c>
      <c r="V77" s="105">
        <v>0</v>
      </c>
      <c r="W77" s="105">
        <v>0</v>
      </c>
      <c r="X77" s="105">
        <v>0</v>
      </c>
      <c r="Y77" s="105">
        <v>0</v>
      </c>
      <c r="Z77" s="106">
        <v>0</v>
      </c>
    </row>
    <row r="78" spans="1:26" x14ac:dyDescent="0.3">
      <c r="A78" s="134">
        <v>17</v>
      </c>
      <c r="B78" s="104">
        <v>5.6999620016647528E-5</v>
      </c>
      <c r="C78" s="105">
        <v>6.0041708295493657E-5</v>
      </c>
      <c r="D78" s="105">
        <v>4.3977495810703174E-4</v>
      </c>
      <c r="E78" s="105">
        <v>2.1533186135284588E-4</v>
      </c>
      <c r="F78" s="105">
        <v>8.5455765903451298E-5</v>
      </c>
      <c r="G78" s="105">
        <v>0</v>
      </c>
      <c r="H78" s="105">
        <v>5.6861612787091296E-5</v>
      </c>
      <c r="I78" s="105">
        <v>7.3371344578103924E-4</v>
      </c>
      <c r="J78" s="105">
        <v>1.4125434456678456E-4</v>
      </c>
      <c r="K78" s="105">
        <v>2.1978418776787142E-4</v>
      </c>
      <c r="L78" s="105">
        <v>6.2892904564136045E-5</v>
      </c>
      <c r="M78" s="105">
        <v>3.8605540647454988E-4</v>
      </c>
      <c r="N78" s="105">
        <v>9.3111214293657604E-5</v>
      </c>
      <c r="O78" s="105">
        <v>4.8178613503613246E-5</v>
      </c>
      <c r="P78" s="105">
        <v>1.0395850408258569E-4</v>
      </c>
      <c r="Q78" s="105">
        <v>1.0241005978819247E-4</v>
      </c>
      <c r="R78" s="105">
        <v>1.4625867364041141E-4</v>
      </c>
      <c r="S78" s="105">
        <v>2.1956195701451807E-5</v>
      </c>
      <c r="T78" s="105">
        <v>2.5910395985401185E-5</v>
      </c>
      <c r="U78" s="105">
        <v>2.4067499935140512E-5</v>
      </c>
      <c r="V78" s="105">
        <v>1.4944853736673506E-4</v>
      </c>
      <c r="W78" s="105">
        <v>5.0857226020415143E-5</v>
      </c>
      <c r="X78" s="105">
        <v>3.0469154763609923E-5</v>
      </c>
      <c r="Y78" s="105">
        <v>6.8472487791464194E-5</v>
      </c>
      <c r="Z78" s="106">
        <v>8.912835532864123E-5</v>
      </c>
    </row>
    <row r="79" spans="1:26" ht="16.95" customHeight="1" x14ac:dyDescent="0.3">
      <c r="A79" s="134">
        <v>18</v>
      </c>
      <c r="B79" s="104">
        <v>0</v>
      </c>
      <c r="C79" s="105">
        <v>0</v>
      </c>
      <c r="D79" s="105">
        <v>0</v>
      </c>
      <c r="E79" s="105">
        <v>0</v>
      </c>
      <c r="F79" s="105">
        <v>0</v>
      </c>
      <c r="G79" s="105">
        <v>0</v>
      </c>
      <c r="H79" s="105">
        <v>0</v>
      </c>
      <c r="I79" s="105">
        <v>0</v>
      </c>
      <c r="J79" s="105">
        <v>0</v>
      </c>
      <c r="K79" s="105">
        <v>0</v>
      </c>
      <c r="L79" s="105">
        <v>0</v>
      </c>
      <c r="M79" s="105">
        <v>0</v>
      </c>
      <c r="N79" s="105">
        <v>0</v>
      </c>
      <c r="O79" s="105">
        <v>0</v>
      </c>
      <c r="P79" s="105">
        <v>0</v>
      </c>
      <c r="Q79" s="105">
        <v>0</v>
      </c>
      <c r="R79" s="105">
        <v>0</v>
      </c>
      <c r="S79" s="105">
        <v>0</v>
      </c>
      <c r="T79" s="105">
        <v>0</v>
      </c>
      <c r="U79" s="105">
        <v>0</v>
      </c>
      <c r="V79" s="105">
        <v>0</v>
      </c>
      <c r="W79" s="105">
        <v>0</v>
      </c>
      <c r="X79" s="105">
        <v>0</v>
      </c>
      <c r="Y79" s="105">
        <v>0</v>
      </c>
      <c r="Z79" s="106">
        <v>0</v>
      </c>
    </row>
    <row r="80" spans="1:26" x14ac:dyDescent="0.3">
      <c r="A80" s="134">
        <v>19</v>
      </c>
      <c r="B80" s="104">
        <v>0</v>
      </c>
      <c r="C80" s="105">
        <v>0</v>
      </c>
      <c r="D80" s="105">
        <v>0</v>
      </c>
      <c r="E80" s="105">
        <v>0</v>
      </c>
      <c r="F80" s="105">
        <v>0</v>
      </c>
      <c r="G80" s="105">
        <v>0</v>
      </c>
      <c r="H80" s="105">
        <v>0</v>
      </c>
      <c r="I80" s="105">
        <v>0</v>
      </c>
      <c r="J80" s="105">
        <v>0</v>
      </c>
      <c r="K80" s="105">
        <v>0</v>
      </c>
      <c r="L80" s="105">
        <v>0</v>
      </c>
      <c r="M80" s="105">
        <v>0</v>
      </c>
      <c r="N80" s="105">
        <v>0</v>
      </c>
      <c r="O80" s="105">
        <v>0</v>
      </c>
      <c r="P80" s="105">
        <v>0</v>
      </c>
      <c r="Q80" s="105">
        <v>0</v>
      </c>
      <c r="R80" s="105">
        <v>0</v>
      </c>
      <c r="S80" s="105">
        <v>0</v>
      </c>
      <c r="T80" s="105">
        <v>0</v>
      </c>
      <c r="U80" s="105">
        <v>0</v>
      </c>
      <c r="V80" s="105">
        <v>0</v>
      </c>
      <c r="W80" s="105">
        <v>0</v>
      </c>
      <c r="X80" s="105">
        <v>0</v>
      </c>
      <c r="Y80" s="105">
        <v>0</v>
      </c>
      <c r="Z80" s="106">
        <v>0</v>
      </c>
    </row>
    <row r="81" spans="1:26" ht="16.95" customHeight="1" x14ac:dyDescent="0.3">
      <c r="A81" s="134">
        <v>20</v>
      </c>
      <c r="B81" s="104">
        <v>0</v>
      </c>
      <c r="C81" s="105">
        <v>0</v>
      </c>
      <c r="D81" s="105">
        <v>0</v>
      </c>
      <c r="E81" s="105">
        <v>0</v>
      </c>
      <c r="F81" s="105">
        <v>0</v>
      </c>
      <c r="G81" s="105">
        <v>0</v>
      </c>
      <c r="H81" s="105">
        <v>0</v>
      </c>
      <c r="I81" s="105">
        <v>0</v>
      </c>
      <c r="J81" s="105">
        <v>0</v>
      </c>
      <c r="K81" s="105">
        <v>0</v>
      </c>
      <c r="L81" s="105">
        <v>0</v>
      </c>
      <c r="M81" s="105">
        <v>0</v>
      </c>
      <c r="N81" s="105">
        <v>0</v>
      </c>
      <c r="O81" s="105">
        <v>0</v>
      </c>
      <c r="P81" s="105">
        <v>0</v>
      </c>
      <c r="Q81" s="105">
        <v>0</v>
      </c>
      <c r="R81" s="105">
        <v>0</v>
      </c>
      <c r="S81" s="105">
        <v>0</v>
      </c>
      <c r="T81" s="105">
        <v>0</v>
      </c>
      <c r="U81" s="105">
        <v>0</v>
      </c>
      <c r="V81" s="105">
        <v>0</v>
      </c>
      <c r="W81" s="105">
        <v>0</v>
      </c>
      <c r="X81" s="105">
        <v>0</v>
      </c>
      <c r="Y81" s="105">
        <v>0</v>
      </c>
      <c r="Z81" s="106">
        <v>0</v>
      </c>
    </row>
    <row r="82" spans="1:26" x14ac:dyDescent="0.3">
      <c r="A82" s="134">
        <v>21</v>
      </c>
      <c r="B82" s="104">
        <v>2.22091646926935E-2</v>
      </c>
      <c r="C82" s="105">
        <v>1.9141422326554299E-2</v>
      </c>
      <c r="D82" s="105">
        <v>2.0247649677415901E-2</v>
      </c>
      <c r="E82" s="105">
        <v>4.6872132726848002E-2</v>
      </c>
      <c r="F82" s="105">
        <v>2.9922517160498499E-2</v>
      </c>
      <c r="G82" s="105">
        <v>0</v>
      </c>
      <c r="H82" s="105">
        <v>2.2371674818244841E-2</v>
      </c>
      <c r="I82" s="105">
        <v>1.42286015326123E-2</v>
      </c>
      <c r="J82" s="105">
        <v>1.52895197882425E-2</v>
      </c>
      <c r="K82" s="105">
        <v>3.1988800569947601E-2</v>
      </c>
      <c r="L82" s="105">
        <v>1.6782679150205801E-2</v>
      </c>
      <c r="M82" s="105">
        <v>2.8496385389400199E-2</v>
      </c>
      <c r="N82" s="105">
        <v>1.21743853468408E-2</v>
      </c>
      <c r="O82" s="105">
        <v>1.1860851130276E-2</v>
      </c>
      <c r="P82" s="105">
        <v>2.4799956058600098E-2</v>
      </c>
      <c r="Q82" s="105">
        <v>3.9300428998772403E-2</v>
      </c>
      <c r="R82" s="105">
        <v>2.5392930060305099E-2</v>
      </c>
      <c r="S82" s="105">
        <v>3.6822023518479997E-2</v>
      </c>
      <c r="T82" s="105">
        <v>4.6184851090420302E-2</v>
      </c>
      <c r="U82" s="105">
        <v>5.5577535786091203E-2</v>
      </c>
      <c r="V82" s="105">
        <v>7.6365619622057304E-2</v>
      </c>
      <c r="W82" s="105">
        <v>1.8150182660851E-2</v>
      </c>
      <c r="X82" s="105">
        <v>1.2231703456507001E-2</v>
      </c>
      <c r="Y82" s="105">
        <v>3.0095372305840001E-2</v>
      </c>
      <c r="Z82" s="106">
        <v>3.9467346018847597E-2</v>
      </c>
    </row>
    <row r="83" spans="1:26" x14ac:dyDescent="0.3">
      <c r="A83" s="134">
        <v>22</v>
      </c>
      <c r="B83" s="104">
        <v>2.6363103310189E-4</v>
      </c>
      <c r="C83" s="105">
        <v>2.4065256568668101E-4</v>
      </c>
      <c r="D83" s="105">
        <v>2.4599557233919399E-4</v>
      </c>
      <c r="E83" s="105">
        <v>3.6961142917617002E-4</v>
      </c>
      <c r="F83" s="105">
        <v>2.6220324911981698E-4</v>
      </c>
      <c r="G83" s="105">
        <v>0</v>
      </c>
      <c r="H83" s="105">
        <v>2.0347943669161684E-3</v>
      </c>
      <c r="I83" s="105">
        <v>1.9724403029211301E-4</v>
      </c>
      <c r="J83" s="105">
        <v>3.5476681661118699E-4</v>
      </c>
      <c r="K83" s="105">
        <v>6.9350940220937901E-4</v>
      </c>
      <c r="L83" s="105">
        <v>3.4382595911888302E-4</v>
      </c>
      <c r="M83" s="105">
        <v>6.66443755289816E-4</v>
      </c>
      <c r="N83" s="105">
        <v>1.28460364146273E-3</v>
      </c>
      <c r="O83" s="105">
        <v>5.5933385255008399E-4</v>
      </c>
      <c r="P83" s="105">
        <v>1.4619036268246799E-3</v>
      </c>
      <c r="Q83" s="105">
        <v>1.0173245740296101E-3</v>
      </c>
      <c r="R83" s="105">
        <v>8.2127116296431104E-4</v>
      </c>
      <c r="S83" s="105">
        <v>1.940454955051E-3</v>
      </c>
      <c r="T83" s="105">
        <v>2.6109426775632402E-4</v>
      </c>
      <c r="U83" s="105">
        <v>1.90919636417208E-3</v>
      </c>
      <c r="V83" s="105">
        <v>6.6912662550045496E-4</v>
      </c>
      <c r="W83" s="105">
        <v>1.1921982684464399E-2</v>
      </c>
      <c r="X83" s="105">
        <v>1.4135707015807001E-3</v>
      </c>
      <c r="Y83" s="105">
        <v>1.96209790268004E-3</v>
      </c>
      <c r="Z83" s="106">
        <v>1.57616838691568E-3</v>
      </c>
    </row>
    <row r="84" spans="1:26" x14ac:dyDescent="0.3">
      <c r="A84" s="134">
        <v>23</v>
      </c>
      <c r="B84" s="104">
        <v>2.7529415521472398E-4</v>
      </c>
      <c r="C84" s="105">
        <v>2.04415359774232E-4</v>
      </c>
      <c r="D84" s="105">
        <v>1.5879554792403499E-4</v>
      </c>
      <c r="E84" s="105">
        <v>4.4035335320892998E-4</v>
      </c>
      <c r="F84" s="105">
        <v>4.0263152232367002E-4</v>
      </c>
      <c r="G84" s="105">
        <v>0</v>
      </c>
      <c r="H84" s="105">
        <v>2.2804527514285991E-3</v>
      </c>
      <c r="I84" s="105">
        <v>2.0242080825696399E-4</v>
      </c>
      <c r="J84" s="105">
        <v>2.99370094272636E-4</v>
      </c>
      <c r="K84" s="105">
        <v>8.09253413078774E-4</v>
      </c>
      <c r="L84" s="105">
        <v>6.9676251086159995E-4</v>
      </c>
      <c r="M84" s="105">
        <v>5.3793287204814905E-4</v>
      </c>
      <c r="N84" s="105">
        <v>3.3677362055066501E-4</v>
      </c>
      <c r="O84" s="105">
        <v>8.8424532245259097E-4</v>
      </c>
      <c r="P84" s="105">
        <v>4.3302384103292499E-4</v>
      </c>
      <c r="Q84" s="105">
        <v>3.28729824259229E-4</v>
      </c>
      <c r="R84" s="105">
        <v>3.6633293743371001E-4</v>
      </c>
      <c r="S84" s="105">
        <v>4.7077392619808298E-4</v>
      </c>
      <c r="T84" s="105">
        <v>3.4873697412372303E-4</v>
      </c>
      <c r="U84" s="105">
        <v>3.0925258397174302E-4</v>
      </c>
      <c r="V84" s="105">
        <v>2.0499641697104099E-4</v>
      </c>
      <c r="W84" s="105">
        <v>1.25664417123887E-3</v>
      </c>
      <c r="X84" s="105">
        <v>2.1711104597175901E-2</v>
      </c>
      <c r="Y84" s="105">
        <v>3.44567312978768E-3</v>
      </c>
      <c r="Z84" s="106">
        <v>2.5682704112420401E-3</v>
      </c>
    </row>
    <row r="85" spans="1:26" x14ac:dyDescent="0.3">
      <c r="A85" s="134">
        <v>24</v>
      </c>
      <c r="B85" s="104">
        <v>1.02081087847596E-2</v>
      </c>
      <c r="C85" s="105">
        <v>4.2158240414676001E-3</v>
      </c>
      <c r="D85" s="105">
        <v>5.4739623713019698E-3</v>
      </c>
      <c r="E85" s="105">
        <v>3.2015688407412602E-3</v>
      </c>
      <c r="F85" s="105">
        <v>2.8375218547417899E-3</v>
      </c>
      <c r="G85" s="105">
        <v>0</v>
      </c>
      <c r="H85" s="105">
        <v>4.1514166007593179E-3</v>
      </c>
      <c r="I85" s="105">
        <v>1.2526283276512E-3</v>
      </c>
      <c r="J85" s="105">
        <v>3.4312712389129901E-3</v>
      </c>
      <c r="K85" s="105">
        <v>2.37938816742781E-3</v>
      </c>
      <c r="L85" s="105">
        <v>1.4069762012374201E-3</v>
      </c>
      <c r="M85" s="105">
        <v>1.49995270565634E-2</v>
      </c>
      <c r="N85" s="105">
        <v>1.5951830419587001E-2</v>
      </c>
      <c r="O85" s="105">
        <v>2.9010208385224601E-2</v>
      </c>
      <c r="P85" s="105">
        <v>3.74767379819606E-3</v>
      </c>
      <c r="Q85" s="105">
        <v>1.7567815282623502E-2</v>
      </c>
      <c r="R85" s="105">
        <v>3.4811933522660402E-3</v>
      </c>
      <c r="S85" s="105">
        <v>6.5371255212567795E-4</v>
      </c>
      <c r="T85" s="105">
        <v>8.8033648607272895E-4</v>
      </c>
      <c r="U85" s="105">
        <v>2.3194502879786902E-3</v>
      </c>
      <c r="V85" s="105">
        <v>3.8051803508505101E-3</v>
      </c>
      <c r="W85" s="105">
        <v>3.7731039005323001E-3</v>
      </c>
      <c r="X85" s="105">
        <v>3.9170567389686496E-3</v>
      </c>
      <c r="Y85" s="105">
        <v>4.6316261225656297E-2</v>
      </c>
      <c r="Z85" s="106">
        <v>7.2473286377713206E-2</v>
      </c>
    </row>
    <row r="86" spans="1:26" ht="15" thickBot="1" x14ac:dyDescent="0.35">
      <c r="A86" s="135">
        <v>25</v>
      </c>
      <c r="B86" s="107">
        <v>3.64320599992857E-4</v>
      </c>
      <c r="C86" s="108">
        <v>2.3575402106929601E-4</v>
      </c>
      <c r="D86" s="108">
        <v>4.97619397954724E-4</v>
      </c>
      <c r="E86" s="108">
        <v>3.1909637873511098E-4</v>
      </c>
      <c r="F86" s="108">
        <v>4.65807631627812E-4</v>
      </c>
      <c r="G86" s="108">
        <v>0</v>
      </c>
      <c r="H86" s="108">
        <v>6.1909369234759649E-4</v>
      </c>
      <c r="I86" s="108">
        <v>3.58582726728274E-4</v>
      </c>
      <c r="J86" s="108">
        <v>7.5142131333864903E-4</v>
      </c>
      <c r="K86" s="108">
        <v>6.4544944623498503E-4</v>
      </c>
      <c r="L86" s="108">
        <v>1.76107114657633E-4</v>
      </c>
      <c r="M86" s="108">
        <v>2.1567165035020499E-4</v>
      </c>
      <c r="N86" s="108">
        <v>4.7267970452912497E-4</v>
      </c>
      <c r="O86" s="108">
        <v>6.0856102487955E-4</v>
      </c>
      <c r="P86" s="108">
        <v>2.8157830766378301E-4</v>
      </c>
      <c r="Q86" s="108">
        <v>4.4962768271646402E-3</v>
      </c>
      <c r="R86" s="108">
        <v>5.6958205677985698E-4</v>
      </c>
      <c r="S86" s="108">
        <v>1.9477810408181199E-4</v>
      </c>
      <c r="T86" s="108">
        <v>1.4593615614314601E-4</v>
      </c>
      <c r="U86" s="108">
        <v>1.3636385273401699E-4</v>
      </c>
      <c r="V86" s="108">
        <v>3.6596595781180198E-4</v>
      </c>
      <c r="W86" s="108">
        <v>2.00533950700308E-4</v>
      </c>
      <c r="X86" s="108">
        <v>5.8566946999952197E-4</v>
      </c>
      <c r="Y86" s="108">
        <v>8.0550439330272401E-3</v>
      </c>
      <c r="Z86" s="109">
        <v>2.90726182216101E-2</v>
      </c>
    </row>
    <row r="87" spans="1:26" ht="14.25" customHeight="1" x14ac:dyDescent="0.3"/>
    <row r="88" spans="1:26" x14ac:dyDescent="0.3">
      <c r="A88" s="1" t="s">
        <v>12</v>
      </c>
    </row>
    <row r="89" spans="1:26" ht="14.25" customHeight="1" thickBot="1" x14ac:dyDescent="0.35">
      <c r="A89" s="76" t="s">
        <v>146</v>
      </c>
    </row>
    <row r="90" spans="1:26" ht="15" thickBot="1" x14ac:dyDescent="0.35">
      <c r="B90" s="136" t="s">
        <v>1</v>
      </c>
      <c r="C90" s="137" t="s">
        <v>2</v>
      </c>
      <c r="D90" s="17" t="s">
        <v>13</v>
      </c>
      <c r="E90" s="16" t="s">
        <v>14</v>
      </c>
      <c r="F90" s="18" t="s">
        <v>15</v>
      </c>
    </row>
    <row r="91" spans="1:26" ht="14.25" customHeight="1" x14ac:dyDescent="0.3">
      <c r="A91" s="13" t="s">
        <v>16</v>
      </c>
      <c r="B91" s="195" t="s">
        <v>165</v>
      </c>
      <c r="C91" s="138" t="s">
        <v>35</v>
      </c>
      <c r="D91" s="29">
        <v>1.7501813084399229E-2</v>
      </c>
      <c r="E91" s="23">
        <v>1.7501813084399229E-2</v>
      </c>
      <c r="F91" s="142">
        <v>1.7501813084399229E-2</v>
      </c>
    </row>
    <row r="92" spans="1:26" x14ac:dyDescent="0.3">
      <c r="A92" s="22" t="s">
        <v>17</v>
      </c>
      <c r="B92" s="193"/>
      <c r="C92" s="139" t="s">
        <v>35</v>
      </c>
      <c r="D92" s="29">
        <v>2.025667174259935E-2</v>
      </c>
      <c r="E92" s="23">
        <v>2.025667174259935E-2</v>
      </c>
      <c r="F92" s="142">
        <v>2.025667174259935E-2</v>
      </c>
    </row>
    <row r="93" spans="1:26" ht="15" thickBot="1" x14ac:dyDescent="0.35">
      <c r="A93" s="14" t="s">
        <v>18</v>
      </c>
      <c r="B93" s="194"/>
      <c r="C93" s="140" t="s">
        <v>35</v>
      </c>
      <c r="D93" s="34">
        <v>2.1269505329729318E-2</v>
      </c>
      <c r="E93" s="26">
        <v>2.1269505329729318E-2</v>
      </c>
      <c r="F93" s="143">
        <v>2.1269505329729318E-2</v>
      </c>
    </row>
    <row r="94" spans="1:26" ht="14.25" customHeight="1" x14ac:dyDescent="0.3"/>
    <row r="95" spans="1:26" ht="14.25" customHeight="1" thickBot="1" x14ac:dyDescent="0.35">
      <c r="A95" s="76" t="s">
        <v>147</v>
      </c>
    </row>
    <row r="96" spans="1:26" ht="15" thickBot="1" x14ac:dyDescent="0.35">
      <c r="B96" s="136" t="s">
        <v>1</v>
      </c>
      <c r="C96" s="137" t="s">
        <v>2</v>
      </c>
      <c r="D96" s="17" t="s">
        <v>13</v>
      </c>
      <c r="E96" s="16" t="s">
        <v>14</v>
      </c>
      <c r="F96" s="18" t="s">
        <v>15</v>
      </c>
    </row>
    <row r="97" spans="1:16" ht="14.25" customHeight="1" x14ac:dyDescent="0.3">
      <c r="A97" s="13" t="s">
        <v>16</v>
      </c>
      <c r="B97" s="195" t="s">
        <v>165</v>
      </c>
      <c r="C97" s="138" t="s">
        <v>35</v>
      </c>
      <c r="D97" s="29">
        <v>7.3959322759181911E-3</v>
      </c>
      <c r="E97" s="23">
        <v>7.3959322759181911E-3</v>
      </c>
      <c r="F97" s="142">
        <v>7.3959322759181911E-3</v>
      </c>
    </row>
    <row r="98" spans="1:16" x14ac:dyDescent="0.3">
      <c r="A98" s="22" t="s">
        <v>17</v>
      </c>
      <c r="B98" s="193"/>
      <c r="C98" s="139" t="s">
        <v>35</v>
      </c>
      <c r="D98" s="29">
        <v>7.3959322759181911E-3</v>
      </c>
      <c r="E98" s="23">
        <v>7.3959322759181911E-3</v>
      </c>
      <c r="F98" s="142">
        <v>7.3959322759181911E-3</v>
      </c>
    </row>
    <row r="99" spans="1:16" ht="15" thickBot="1" x14ac:dyDescent="0.35">
      <c r="A99" s="14" t="s">
        <v>18</v>
      </c>
      <c r="B99" s="194"/>
      <c r="C99" s="140" t="s">
        <v>35</v>
      </c>
      <c r="D99" s="34">
        <v>7.3959322759181911E-3</v>
      </c>
      <c r="E99" s="26">
        <v>7.3959322759181911E-3</v>
      </c>
      <c r="F99" s="143">
        <v>7.3959322759181911E-3</v>
      </c>
    </row>
    <row r="100" spans="1:16" ht="14.25" customHeight="1" x14ac:dyDescent="0.3"/>
    <row r="101" spans="1:16" ht="14.25" customHeight="1" thickBot="1" x14ac:dyDescent="0.35">
      <c r="A101" s="76" t="s">
        <v>148</v>
      </c>
    </row>
    <row r="102" spans="1:16" ht="15" thickBot="1" x14ac:dyDescent="0.35">
      <c r="B102" s="136" t="s">
        <v>1</v>
      </c>
      <c r="C102" s="137" t="s">
        <v>2</v>
      </c>
      <c r="D102" s="17" t="s">
        <v>13</v>
      </c>
      <c r="E102" s="16" t="s">
        <v>14</v>
      </c>
      <c r="F102" s="18" t="s">
        <v>15</v>
      </c>
    </row>
    <row r="103" spans="1:16" ht="14.25" customHeight="1" x14ac:dyDescent="0.3">
      <c r="A103" s="13" t="s">
        <v>16</v>
      </c>
      <c r="B103" s="195" t="s">
        <v>165</v>
      </c>
      <c r="C103" s="138" t="s">
        <v>35</v>
      </c>
      <c r="D103" s="29">
        <v>2.7518739447831144E-2</v>
      </c>
      <c r="E103" s="23">
        <v>2.9749988592249893E-2</v>
      </c>
      <c r="F103" s="142">
        <v>3.1237488021862388E-2</v>
      </c>
    </row>
    <row r="104" spans="1:16" ht="14.4" customHeight="1" x14ac:dyDescent="0.3">
      <c r="A104" s="22" t="s">
        <v>17</v>
      </c>
      <c r="B104" s="193"/>
      <c r="C104" s="139" t="s">
        <v>35</v>
      </c>
      <c r="D104" s="29">
        <v>3.0066983706666255E-2</v>
      </c>
      <c r="E104" s="23">
        <v>3.2504847250450011E-2</v>
      </c>
      <c r="F104" s="142">
        <v>3.4130089612972515E-2</v>
      </c>
    </row>
    <row r="105" spans="1:16" ht="15" thickBot="1" x14ac:dyDescent="0.35">
      <c r="A105" s="14" t="s">
        <v>18</v>
      </c>
      <c r="B105" s="194"/>
      <c r="C105" s="140" t="s">
        <v>35</v>
      </c>
      <c r="D105" s="34">
        <v>3.0066983706666255E-2</v>
      </c>
      <c r="E105" s="26">
        <v>3.2504847250450011E-2</v>
      </c>
      <c r="F105" s="143">
        <v>3.4130089612972515E-2</v>
      </c>
    </row>
    <row r="106" spans="1:16" ht="14.25" customHeight="1" x14ac:dyDescent="0.3"/>
    <row r="107" spans="1:16" x14ac:dyDescent="0.3">
      <c r="A107" s="1" t="s">
        <v>19</v>
      </c>
      <c r="B107" s="35"/>
    </row>
    <row r="108" spans="1:16" ht="15" thickBot="1" x14ac:dyDescent="0.35">
      <c r="A108" s="110" t="s">
        <v>143</v>
      </c>
    </row>
    <row r="109" spans="1:16" s="36" customFormat="1" ht="29.4" thickBot="1" x14ac:dyDescent="0.35">
      <c r="B109" s="37" t="s">
        <v>1</v>
      </c>
      <c r="C109" s="39" t="s">
        <v>2</v>
      </c>
      <c r="D109" s="129" t="s">
        <v>20</v>
      </c>
      <c r="E109" s="130" t="s">
        <v>21</v>
      </c>
      <c r="F109" s="130" t="s">
        <v>22</v>
      </c>
      <c r="G109" s="130" t="s">
        <v>23</v>
      </c>
      <c r="H109" s="130" t="s">
        <v>24</v>
      </c>
      <c r="I109" s="130" t="s">
        <v>25</v>
      </c>
      <c r="J109" s="130" t="s">
        <v>26</v>
      </c>
      <c r="K109" s="130" t="s">
        <v>27</v>
      </c>
      <c r="L109" s="130" t="s">
        <v>28</v>
      </c>
      <c r="M109" s="130" t="s">
        <v>29</v>
      </c>
      <c r="N109" s="130" t="s">
        <v>30</v>
      </c>
      <c r="O109" s="130" t="s">
        <v>31</v>
      </c>
      <c r="P109" s="131" t="s">
        <v>32</v>
      </c>
    </row>
    <row r="110" spans="1:16" ht="24.6" customHeight="1" thickBot="1" x14ac:dyDescent="0.35">
      <c r="A110" s="144" t="s">
        <v>33</v>
      </c>
      <c r="B110" s="192" t="s">
        <v>34</v>
      </c>
      <c r="C110" s="43" t="s">
        <v>35</v>
      </c>
      <c r="D110" s="128">
        <v>3</v>
      </c>
      <c r="E110" s="127">
        <v>3</v>
      </c>
      <c r="F110" s="127">
        <v>3</v>
      </c>
      <c r="G110" s="127">
        <v>3</v>
      </c>
      <c r="H110" s="127">
        <v>3</v>
      </c>
      <c r="I110" s="127">
        <v>3</v>
      </c>
      <c r="J110" s="127">
        <v>3</v>
      </c>
      <c r="K110" s="127">
        <v>3</v>
      </c>
      <c r="L110" s="127">
        <v>3</v>
      </c>
      <c r="M110" s="127">
        <v>3</v>
      </c>
      <c r="N110" s="127">
        <v>3</v>
      </c>
      <c r="O110" s="127">
        <v>3</v>
      </c>
      <c r="P110" s="60">
        <v>3</v>
      </c>
    </row>
    <row r="111" spans="1:16" ht="24.6" customHeight="1" thickBot="1" x14ac:dyDescent="0.35">
      <c r="A111" s="145" t="s">
        <v>36</v>
      </c>
      <c r="B111" s="192"/>
      <c r="C111" s="46" t="s">
        <v>35</v>
      </c>
      <c r="D111" s="44">
        <v>10</v>
      </c>
      <c r="E111" s="45">
        <v>9</v>
      </c>
      <c r="F111" s="45">
        <v>9</v>
      </c>
      <c r="G111" s="45">
        <v>9</v>
      </c>
      <c r="H111" s="45">
        <v>9</v>
      </c>
      <c r="I111" s="45">
        <v>9</v>
      </c>
      <c r="J111" s="45">
        <v>9</v>
      </c>
      <c r="K111" s="45">
        <v>9</v>
      </c>
      <c r="L111" s="45">
        <v>9</v>
      </c>
      <c r="M111" s="45">
        <v>9</v>
      </c>
      <c r="N111" s="45">
        <v>9</v>
      </c>
      <c r="O111" s="45">
        <v>9</v>
      </c>
      <c r="P111" s="46">
        <v>9</v>
      </c>
    </row>
    <row r="112" spans="1:16" ht="24.6" customHeight="1" thickBot="1" x14ac:dyDescent="0.35">
      <c r="A112" s="145" t="s">
        <v>37</v>
      </c>
      <c r="B112" s="192"/>
      <c r="C112" s="46" t="s">
        <v>35</v>
      </c>
      <c r="D112" s="44">
        <v>1</v>
      </c>
      <c r="E112" s="45">
        <v>1</v>
      </c>
      <c r="F112" s="45">
        <v>1</v>
      </c>
      <c r="G112" s="45">
        <v>1</v>
      </c>
      <c r="H112" s="45">
        <v>1</v>
      </c>
      <c r="I112" s="45">
        <v>1</v>
      </c>
      <c r="J112" s="45">
        <v>1</v>
      </c>
      <c r="K112" s="45">
        <v>1</v>
      </c>
      <c r="L112" s="45">
        <v>1</v>
      </c>
      <c r="M112" s="45">
        <v>1</v>
      </c>
      <c r="N112" s="45">
        <v>1</v>
      </c>
      <c r="O112" s="45">
        <v>1</v>
      </c>
      <c r="P112" s="46">
        <v>1</v>
      </c>
    </row>
    <row r="113" spans="1:28" ht="24.6" customHeight="1" thickBot="1" x14ac:dyDescent="0.35">
      <c r="A113" s="146" t="s">
        <v>38</v>
      </c>
      <c r="B113" s="192"/>
      <c r="C113" s="49" t="s">
        <v>35</v>
      </c>
      <c r="D113" s="47">
        <v>0</v>
      </c>
      <c r="E113" s="48">
        <v>0</v>
      </c>
      <c r="F113" s="48">
        <v>0</v>
      </c>
      <c r="G113" s="48">
        <v>0</v>
      </c>
      <c r="H113" s="48">
        <v>0</v>
      </c>
      <c r="I113" s="48">
        <v>0</v>
      </c>
      <c r="J113" s="48">
        <v>0</v>
      </c>
      <c r="K113" s="48">
        <v>0</v>
      </c>
      <c r="L113" s="48">
        <v>0</v>
      </c>
      <c r="M113" s="48">
        <v>0</v>
      </c>
      <c r="N113" s="48">
        <v>0</v>
      </c>
      <c r="O113" s="48">
        <v>0</v>
      </c>
      <c r="P113" s="49">
        <v>0</v>
      </c>
    </row>
    <row r="114" spans="1:28" ht="14.25" customHeight="1" x14ac:dyDescent="0.3"/>
    <row r="115" spans="1:28" x14ac:dyDescent="0.3">
      <c r="A115" s="117" t="s">
        <v>166</v>
      </c>
    </row>
    <row r="116" spans="1:28" ht="15" thickBot="1" x14ac:dyDescent="0.35">
      <c r="A116" s="111" t="s">
        <v>146</v>
      </c>
    </row>
    <row r="117" spans="1:28" ht="15.75" customHeight="1" thickBot="1" x14ac:dyDescent="0.35">
      <c r="A117" s="112"/>
      <c r="B117" s="147" t="s">
        <v>1</v>
      </c>
      <c r="C117" s="148" t="s">
        <v>2</v>
      </c>
      <c r="D117" s="17">
        <v>1</v>
      </c>
      <c r="E117" s="16">
        <v>2</v>
      </c>
      <c r="F117" s="16">
        <v>3</v>
      </c>
      <c r="G117" s="16">
        <v>4</v>
      </c>
      <c r="H117" s="16">
        <v>5</v>
      </c>
      <c r="I117" s="16">
        <v>6</v>
      </c>
      <c r="J117" s="16">
        <v>7</v>
      </c>
      <c r="K117" s="16">
        <v>8</v>
      </c>
      <c r="L117" s="16">
        <v>9</v>
      </c>
      <c r="M117" s="16">
        <v>10</v>
      </c>
      <c r="N117" s="16">
        <v>11</v>
      </c>
      <c r="O117" s="16">
        <v>12</v>
      </c>
      <c r="P117" s="16">
        <v>13</v>
      </c>
      <c r="Q117" s="16">
        <v>14</v>
      </c>
      <c r="R117" s="16">
        <v>15</v>
      </c>
      <c r="S117" s="16">
        <v>16</v>
      </c>
      <c r="T117" s="16">
        <v>17</v>
      </c>
      <c r="U117" s="16">
        <v>18</v>
      </c>
      <c r="V117" s="17">
        <v>19</v>
      </c>
      <c r="W117" s="16">
        <v>20</v>
      </c>
      <c r="X117" s="16">
        <v>21</v>
      </c>
      <c r="Y117" s="16">
        <v>22</v>
      </c>
      <c r="Z117" s="16">
        <v>23</v>
      </c>
      <c r="AA117" s="16">
        <v>24</v>
      </c>
      <c r="AB117" s="18">
        <v>25</v>
      </c>
    </row>
    <row r="118" spans="1:28" ht="43.8" thickBot="1" x14ac:dyDescent="0.35">
      <c r="A118" s="115" t="s">
        <v>167</v>
      </c>
      <c r="B118" s="149" t="s">
        <v>168</v>
      </c>
      <c r="C118" s="116" t="s">
        <v>35</v>
      </c>
      <c r="D118" s="47">
        <v>4.3910096148065897E-3</v>
      </c>
      <c r="E118" s="48">
        <v>8.2442912938376998E-4</v>
      </c>
      <c r="F118" s="48">
        <v>5.13403873333405E-4</v>
      </c>
      <c r="G118" s="48">
        <v>7.5186759929043407E-5</v>
      </c>
      <c r="H118" s="48">
        <v>1.13374984233245E-2</v>
      </c>
      <c r="I118" s="48">
        <v>0</v>
      </c>
      <c r="J118" s="48">
        <v>0.641647193023275</v>
      </c>
      <c r="K118" s="48">
        <v>1.12996395243666E-8</v>
      </c>
      <c r="L118" s="48">
        <v>3.2409172478953001E-3</v>
      </c>
      <c r="M118" s="49">
        <v>6.2139456733226203E-6</v>
      </c>
      <c r="N118" s="47">
        <v>2.0380045843118601E-3</v>
      </c>
      <c r="O118" s="48">
        <v>1.0046336179600399E-4</v>
      </c>
      <c r="P118" s="48">
        <v>8.6931136277244302E-5</v>
      </c>
      <c r="Q118" s="48">
        <v>4.5535602302018902E-4</v>
      </c>
      <c r="R118" s="48">
        <v>8.3951289732268203E-5</v>
      </c>
      <c r="S118" s="48">
        <v>0</v>
      </c>
      <c r="T118" s="48">
        <v>1.5976380023319E-5</v>
      </c>
      <c r="U118" s="48">
        <v>0</v>
      </c>
      <c r="V118" s="48">
        <v>0</v>
      </c>
      <c r="W118" s="48">
        <v>0</v>
      </c>
      <c r="X118" s="48">
        <v>8.5179188664354505E-3</v>
      </c>
      <c r="Y118" s="48">
        <v>0.13580376048013601</v>
      </c>
      <c r="Z118" s="48">
        <v>0.18169870782629099</v>
      </c>
      <c r="AA118" s="48">
        <v>8.5817016954507497E-3</v>
      </c>
      <c r="AB118" s="49">
        <v>5.8136503926550104E-4</v>
      </c>
    </row>
    <row r="119" spans="1:28" ht="14.25" customHeight="1" x14ac:dyDescent="0.3"/>
    <row r="120" spans="1:28" ht="15" thickBot="1" x14ac:dyDescent="0.35">
      <c r="A120" s="111" t="s">
        <v>147</v>
      </c>
    </row>
    <row r="121" spans="1:28" ht="15.75" customHeight="1" thickBot="1" x14ac:dyDescent="0.35">
      <c r="A121" s="112"/>
      <c r="B121" s="147" t="s">
        <v>1</v>
      </c>
      <c r="C121" s="148" t="s">
        <v>2</v>
      </c>
      <c r="D121" s="17">
        <v>1</v>
      </c>
      <c r="E121" s="16">
        <v>2</v>
      </c>
      <c r="F121" s="16">
        <v>3</v>
      </c>
      <c r="G121" s="16">
        <v>4</v>
      </c>
      <c r="H121" s="16">
        <v>5</v>
      </c>
      <c r="I121" s="16">
        <v>6</v>
      </c>
      <c r="J121" s="16">
        <v>7</v>
      </c>
      <c r="K121" s="16">
        <v>8</v>
      </c>
      <c r="L121" s="16">
        <v>9</v>
      </c>
      <c r="M121" s="16">
        <v>10</v>
      </c>
      <c r="N121" s="16">
        <v>11</v>
      </c>
      <c r="O121" s="16">
        <v>12</v>
      </c>
      <c r="P121" s="16">
        <v>13</v>
      </c>
      <c r="Q121" s="16">
        <v>14</v>
      </c>
      <c r="R121" s="16">
        <v>15</v>
      </c>
      <c r="S121" s="16">
        <v>16</v>
      </c>
      <c r="T121" s="16">
        <v>17</v>
      </c>
      <c r="U121" s="16">
        <v>18</v>
      </c>
      <c r="V121" s="17">
        <v>19</v>
      </c>
      <c r="W121" s="16">
        <v>20</v>
      </c>
      <c r="X121" s="16">
        <v>21</v>
      </c>
      <c r="Y121" s="16">
        <v>22</v>
      </c>
      <c r="Z121" s="16">
        <v>23</v>
      </c>
      <c r="AA121" s="16">
        <v>24</v>
      </c>
      <c r="AB121" s="18">
        <v>25</v>
      </c>
    </row>
    <row r="122" spans="1:28" ht="43.8" thickBot="1" x14ac:dyDescent="0.35">
      <c r="A122" s="115" t="s">
        <v>167</v>
      </c>
      <c r="B122" s="149" t="s">
        <v>168</v>
      </c>
      <c r="C122" s="116" t="s">
        <v>35</v>
      </c>
      <c r="D122" s="47">
        <v>4.3879872245664456E-3</v>
      </c>
      <c r="E122" s="48">
        <v>8.2386166386378161E-4</v>
      </c>
      <c r="F122" s="48">
        <v>5.7005610069806273E-4</v>
      </c>
      <c r="G122" s="48">
        <v>7.5135007883538567E-5</v>
      </c>
      <c r="H122" s="48">
        <v>1.1329694672572782E-2</v>
      </c>
      <c r="I122" s="48">
        <v>0</v>
      </c>
      <c r="J122" s="48">
        <v>0.64120553873783026</v>
      </c>
      <c r="K122" s="48">
        <v>1.1291861832397851E-8</v>
      </c>
      <c r="L122" s="48">
        <v>3.2386864815070536E-3</v>
      </c>
      <c r="M122" s="49">
        <v>6.8996317022008849E-6</v>
      </c>
      <c r="N122" s="47">
        <v>2.0366017986872911E-3</v>
      </c>
      <c r="O122" s="48">
        <v>1.0039421152970511E-3</v>
      </c>
      <c r="P122" s="48">
        <v>1.4478550070251296E-4</v>
      </c>
      <c r="Q122" s="48">
        <v>2.1220437730565009E-4</v>
      </c>
      <c r="R122" s="48">
        <v>1.1253892155420433E-5</v>
      </c>
      <c r="S122" s="48">
        <v>0</v>
      </c>
      <c r="T122" s="48">
        <v>5.9881908676560288E-7</v>
      </c>
      <c r="U122" s="48">
        <v>0</v>
      </c>
      <c r="V122" s="48">
        <v>0</v>
      </c>
      <c r="W122" s="48">
        <v>0</v>
      </c>
      <c r="X122" s="48">
        <v>8.5120558697429627E-3</v>
      </c>
      <c r="Y122" s="48">
        <v>0.13571028494802437</v>
      </c>
      <c r="Z122" s="48">
        <v>0.18157364219233513</v>
      </c>
      <c r="AA122" s="48">
        <v>8.5757947961898773E-3</v>
      </c>
      <c r="AB122" s="49">
        <v>5.8096487798716691E-4</v>
      </c>
    </row>
    <row r="123" spans="1:28" ht="14.25" customHeight="1" x14ac:dyDescent="0.3"/>
    <row r="124" spans="1:28" ht="15" thickBot="1" x14ac:dyDescent="0.35">
      <c r="A124" s="111" t="s">
        <v>148</v>
      </c>
    </row>
    <row r="125" spans="1:28" ht="15.75" customHeight="1" thickBot="1" x14ac:dyDescent="0.35">
      <c r="A125" s="112"/>
      <c r="B125" s="147" t="s">
        <v>1</v>
      </c>
      <c r="C125" s="148" t="s">
        <v>2</v>
      </c>
      <c r="D125" s="17">
        <v>1</v>
      </c>
      <c r="E125" s="16">
        <v>2</v>
      </c>
      <c r="F125" s="16">
        <v>3</v>
      </c>
      <c r="G125" s="16">
        <v>4</v>
      </c>
      <c r="H125" s="16">
        <v>5</v>
      </c>
      <c r="I125" s="16">
        <v>6</v>
      </c>
      <c r="J125" s="16">
        <v>7</v>
      </c>
      <c r="K125" s="16">
        <v>8</v>
      </c>
      <c r="L125" s="16">
        <v>9</v>
      </c>
      <c r="M125" s="16">
        <v>10</v>
      </c>
      <c r="N125" s="16">
        <v>11</v>
      </c>
      <c r="O125" s="16">
        <v>12</v>
      </c>
      <c r="P125" s="16">
        <v>13</v>
      </c>
      <c r="Q125" s="16">
        <v>14</v>
      </c>
      <c r="R125" s="16">
        <v>15</v>
      </c>
      <c r="S125" s="16">
        <v>16</v>
      </c>
      <c r="T125" s="16">
        <v>17</v>
      </c>
      <c r="U125" s="16">
        <v>18</v>
      </c>
      <c r="V125" s="17">
        <v>19</v>
      </c>
      <c r="W125" s="16">
        <v>20</v>
      </c>
      <c r="X125" s="16">
        <v>21</v>
      </c>
      <c r="Y125" s="16">
        <v>22</v>
      </c>
      <c r="Z125" s="16">
        <v>23</v>
      </c>
      <c r="AA125" s="16">
        <v>24</v>
      </c>
      <c r="AB125" s="18">
        <v>25</v>
      </c>
    </row>
    <row r="126" spans="1:28" ht="43.8" thickBot="1" x14ac:dyDescent="0.35">
      <c r="A126" s="115" t="s">
        <v>167</v>
      </c>
      <c r="B126" s="149" t="s">
        <v>168</v>
      </c>
      <c r="C126" s="116" t="s">
        <v>35</v>
      </c>
      <c r="D126" s="47">
        <v>4.3879872245664499E-3</v>
      </c>
      <c r="E126" s="48">
        <v>8.2386166386378204E-4</v>
      </c>
      <c r="F126" s="48">
        <v>5.7005610069806305E-4</v>
      </c>
      <c r="G126" s="48">
        <v>7.5135007883538594E-5</v>
      </c>
      <c r="H126" s="48">
        <v>1.1329694672572801E-2</v>
      </c>
      <c r="I126" s="48">
        <v>0</v>
      </c>
      <c r="J126" s="48">
        <v>0.64120553873783004</v>
      </c>
      <c r="K126" s="48">
        <v>1.12918618323979E-8</v>
      </c>
      <c r="L126" s="48">
        <v>3.2386864815070501E-3</v>
      </c>
      <c r="M126" s="49">
        <v>6.8996317022008899E-6</v>
      </c>
      <c r="N126" s="47">
        <v>2.0366017986872902E-3</v>
      </c>
      <c r="O126" s="48">
        <v>1.00394211529705E-3</v>
      </c>
      <c r="P126" s="48">
        <v>1.4478550070251301E-4</v>
      </c>
      <c r="Q126" s="48">
        <v>2.1220437730565001E-4</v>
      </c>
      <c r="R126" s="48">
        <v>1.1253892155420401E-5</v>
      </c>
      <c r="S126" s="48">
        <v>0</v>
      </c>
      <c r="T126" s="48">
        <v>5.9881908676560299E-7</v>
      </c>
      <c r="U126" s="48">
        <v>0</v>
      </c>
      <c r="V126" s="48">
        <v>0</v>
      </c>
      <c r="W126" s="48">
        <v>0</v>
      </c>
      <c r="X126" s="48">
        <v>8.5120558697429592E-3</v>
      </c>
      <c r="Y126" s="48">
        <v>0.13571028494802401</v>
      </c>
      <c r="Z126" s="48">
        <v>0.18157364219233499</v>
      </c>
      <c r="AA126" s="48">
        <v>8.5757947961898808E-3</v>
      </c>
      <c r="AB126" s="49">
        <v>5.8096487798716702E-4</v>
      </c>
    </row>
    <row r="127" spans="1:28" ht="14.25" customHeight="1" x14ac:dyDescent="0.3"/>
    <row r="128" spans="1:28" x14ac:dyDescent="0.3">
      <c r="A128" s="117" t="s">
        <v>169</v>
      </c>
    </row>
    <row r="129" spans="1:29" ht="15" thickBot="1" x14ac:dyDescent="0.35">
      <c r="A129" s="111" t="s">
        <v>146</v>
      </c>
    </row>
    <row r="130" spans="1:29" ht="15.75" customHeight="1" thickBot="1" x14ac:dyDescent="0.35">
      <c r="A130" s="112"/>
      <c r="B130" s="147" t="s">
        <v>1</v>
      </c>
      <c r="C130" s="137" t="s">
        <v>2</v>
      </c>
      <c r="D130" s="16">
        <v>1</v>
      </c>
      <c r="E130" s="16">
        <v>2</v>
      </c>
      <c r="F130" s="16">
        <v>3</v>
      </c>
      <c r="G130" s="16">
        <v>4</v>
      </c>
      <c r="H130" s="16">
        <v>5</v>
      </c>
      <c r="I130" s="16">
        <v>6</v>
      </c>
      <c r="J130" s="16">
        <v>7</v>
      </c>
      <c r="K130" s="16">
        <v>8</v>
      </c>
      <c r="L130" s="16">
        <v>9</v>
      </c>
      <c r="M130" s="16">
        <v>10</v>
      </c>
      <c r="N130" s="16">
        <v>11</v>
      </c>
      <c r="O130" s="16">
        <v>12</v>
      </c>
      <c r="P130" s="16">
        <v>13</v>
      </c>
      <c r="Q130" s="16">
        <v>14</v>
      </c>
      <c r="R130" s="16">
        <v>15</v>
      </c>
      <c r="S130" s="16">
        <v>16</v>
      </c>
      <c r="T130" s="16">
        <v>17</v>
      </c>
      <c r="U130" s="16">
        <v>18</v>
      </c>
      <c r="V130" s="17">
        <v>19</v>
      </c>
      <c r="W130" s="16">
        <v>20</v>
      </c>
      <c r="X130" s="16">
        <v>21</v>
      </c>
      <c r="Y130" s="16">
        <v>22</v>
      </c>
      <c r="Z130" s="16">
        <v>23</v>
      </c>
      <c r="AA130" s="16">
        <v>24</v>
      </c>
      <c r="AB130" s="18">
        <v>25</v>
      </c>
    </row>
    <row r="131" spans="1:29" ht="43.8" customHeight="1" thickBot="1" x14ac:dyDescent="0.35">
      <c r="A131" s="115" t="s">
        <v>167</v>
      </c>
      <c r="B131" s="149" t="s">
        <v>170</v>
      </c>
      <c r="C131" s="150" t="s">
        <v>35</v>
      </c>
      <c r="D131" s="151">
        <v>1.3372104545724101E-2</v>
      </c>
      <c r="E131" s="151">
        <v>4.4613589335522298E-3</v>
      </c>
      <c r="F131" s="151">
        <v>1.26026748228202E-2</v>
      </c>
      <c r="G131" s="151">
        <v>2.8944155451187301E-3</v>
      </c>
      <c r="H131" s="151">
        <v>0.47425666075151002</v>
      </c>
      <c r="I131" s="151">
        <v>0</v>
      </c>
      <c r="J131" s="151">
        <v>0.16415658951547199</v>
      </c>
      <c r="K131" s="151">
        <v>2.3919519539004899E-4</v>
      </c>
      <c r="L131" s="151">
        <v>3.8571510700629199E-3</v>
      </c>
      <c r="M131" s="151">
        <v>6.6722814723716798E-5</v>
      </c>
      <c r="N131" s="151">
        <v>0.316876792243105</v>
      </c>
      <c r="O131" s="151">
        <v>6.5903540843065503E-7</v>
      </c>
      <c r="P131" s="151">
        <v>1.33506067333991E-6</v>
      </c>
      <c r="Q131" s="151">
        <v>2.6648945912533798E-6</v>
      </c>
      <c r="R131" s="151">
        <v>1.0146685181724199E-4</v>
      </c>
      <c r="S131" s="151">
        <v>0</v>
      </c>
      <c r="T131" s="151">
        <v>2.1642771806637298E-5</v>
      </c>
      <c r="U131" s="151">
        <v>0</v>
      </c>
      <c r="V131" s="151">
        <v>0</v>
      </c>
      <c r="W131" s="151">
        <v>0</v>
      </c>
      <c r="X131" s="151">
        <v>6.5806207465698699E-3</v>
      </c>
      <c r="Y131" s="151">
        <v>1.79129472812014E-4</v>
      </c>
      <c r="Z131" s="151">
        <v>2.7733145118117003E-4</v>
      </c>
      <c r="AA131" s="151">
        <v>3.5476783360803197E-5</v>
      </c>
      <c r="AB131" s="152">
        <v>1.6007494300262201E-5</v>
      </c>
    </row>
    <row r="132" spans="1:29" ht="14.25" customHeight="1" x14ac:dyDescent="0.3"/>
    <row r="133" spans="1:29" ht="15" thickBot="1" x14ac:dyDescent="0.35">
      <c r="A133" s="111" t="s">
        <v>147</v>
      </c>
    </row>
    <row r="134" spans="1:29" ht="15.75" customHeight="1" thickBot="1" x14ac:dyDescent="0.35">
      <c r="A134" s="112"/>
      <c r="B134" s="147" t="s">
        <v>1</v>
      </c>
      <c r="C134" s="137" t="s">
        <v>2</v>
      </c>
      <c r="D134" s="16">
        <v>1</v>
      </c>
      <c r="E134" s="16">
        <v>2</v>
      </c>
      <c r="F134" s="16">
        <v>3</v>
      </c>
      <c r="G134" s="16">
        <v>4</v>
      </c>
      <c r="H134" s="16">
        <v>5</v>
      </c>
      <c r="I134" s="16">
        <v>6</v>
      </c>
      <c r="J134" s="16">
        <v>7</v>
      </c>
      <c r="K134" s="16">
        <v>8</v>
      </c>
      <c r="L134" s="16">
        <v>9</v>
      </c>
      <c r="M134" s="16">
        <v>10</v>
      </c>
      <c r="N134" s="16">
        <v>11</v>
      </c>
      <c r="O134" s="16">
        <v>12</v>
      </c>
      <c r="P134" s="16">
        <v>13</v>
      </c>
      <c r="Q134" s="16">
        <v>14</v>
      </c>
      <c r="R134" s="16">
        <v>15</v>
      </c>
      <c r="S134" s="16">
        <v>16</v>
      </c>
      <c r="T134" s="16">
        <v>17</v>
      </c>
      <c r="U134" s="16">
        <v>18</v>
      </c>
      <c r="V134" s="17">
        <v>19</v>
      </c>
      <c r="W134" s="16">
        <v>20</v>
      </c>
      <c r="X134" s="16">
        <v>21</v>
      </c>
      <c r="Y134" s="16">
        <v>22</v>
      </c>
      <c r="Z134" s="16">
        <v>23</v>
      </c>
      <c r="AA134" s="16">
        <v>24</v>
      </c>
      <c r="AB134" s="18">
        <v>25</v>
      </c>
    </row>
    <row r="135" spans="1:29" ht="49.2" customHeight="1" thickBot="1" x14ac:dyDescent="0.35">
      <c r="A135" s="115" t="s">
        <v>167</v>
      </c>
      <c r="B135" s="149" t="s">
        <v>170</v>
      </c>
      <c r="C135" s="150" t="s">
        <v>35</v>
      </c>
      <c r="D135" s="151">
        <v>1.3354860512497038E-2</v>
      </c>
      <c r="E135" s="151">
        <v>4.455605776192066E-3</v>
      </c>
      <c r="F135" s="151">
        <v>1.3984914455280937E-2</v>
      </c>
      <c r="G135" s="151">
        <v>2.890683043801353E-3</v>
      </c>
      <c r="H135" s="151">
        <v>0.47364508180459092</v>
      </c>
      <c r="I135" s="151">
        <v>0</v>
      </c>
      <c r="J135" s="151">
        <v>0.16394490094585487</v>
      </c>
      <c r="K135" s="151">
        <v>2.3888674058527497E-4</v>
      </c>
      <c r="L135" s="151">
        <v>3.8521770705711661E-3</v>
      </c>
      <c r="M135" s="151">
        <v>7.4040857932564254E-5</v>
      </c>
      <c r="N135" s="151">
        <v>0.31646816292708035</v>
      </c>
      <c r="O135" s="151">
        <v>6.5818554755483293E-6</v>
      </c>
      <c r="P135" s="151">
        <v>2.2222317371222462E-6</v>
      </c>
      <c r="Q135" s="151">
        <v>9.6164621289490742E-7</v>
      </c>
      <c r="R135" s="151">
        <v>1.087495628751278E-6</v>
      </c>
      <c r="S135" s="151">
        <v>0</v>
      </c>
      <c r="T135" s="151">
        <v>4.0776753656018504E-7</v>
      </c>
      <c r="U135" s="151">
        <v>0</v>
      </c>
      <c r="V135" s="151">
        <v>0</v>
      </c>
      <c r="W135" s="151">
        <v>0</v>
      </c>
      <c r="X135" s="151">
        <v>6.5721346894633947E-3</v>
      </c>
      <c r="Y135" s="151">
        <v>1.7889847592064497E-4</v>
      </c>
      <c r="Z135" s="151">
        <v>2.7697381766561313E-4</v>
      </c>
      <c r="AA135" s="151">
        <v>3.5431034179814388E-5</v>
      </c>
      <c r="AB135" s="152">
        <v>1.5986851793119609E-5</v>
      </c>
    </row>
    <row r="136" spans="1:29" ht="14.25" customHeight="1" x14ac:dyDescent="0.3"/>
    <row r="137" spans="1:29" ht="15" thickBot="1" x14ac:dyDescent="0.35">
      <c r="A137" s="111" t="s">
        <v>148</v>
      </c>
    </row>
    <row r="138" spans="1:29" ht="15.75" customHeight="1" thickBot="1" x14ac:dyDescent="0.35">
      <c r="A138" s="112"/>
      <c r="B138" s="147" t="s">
        <v>1</v>
      </c>
      <c r="C138" s="137" t="s">
        <v>2</v>
      </c>
      <c r="D138" s="16">
        <v>1</v>
      </c>
      <c r="E138" s="16">
        <v>2</v>
      </c>
      <c r="F138" s="16">
        <v>3</v>
      </c>
      <c r="G138" s="16">
        <v>4</v>
      </c>
      <c r="H138" s="16">
        <v>5</v>
      </c>
      <c r="I138" s="16">
        <v>6</v>
      </c>
      <c r="J138" s="16">
        <v>7</v>
      </c>
      <c r="K138" s="16">
        <v>8</v>
      </c>
      <c r="L138" s="16">
        <v>9</v>
      </c>
      <c r="M138" s="16">
        <v>10</v>
      </c>
      <c r="N138" s="16">
        <v>11</v>
      </c>
      <c r="O138" s="16">
        <v>12</v>
      </c>
      <c r="P138" s="16">
        <v>13</v>
      </c>
      <c r="Q138" s="16">
        <v>14</v>
      </c>
      <c r="R138" s="16">
        <v>15</v>
      </c>
      <c r="S138" s="16">
        <v>16</v>
      </c>
      <c r="T138" s="16">
        <v>17</v>
      </c>
      <c r="U138" s="16">
        <v>18</v>
      </c>
      <c r="V138" s="17">
        <v>19</v>
      </c>
      <c r="W138" s="16">
        <v>20</v>
      </c>
      <c r="X138" s="16">
        <v>21</v>
      </c>
      <c r="Y138" s="16">
        <v>22</v>
      </c>
      <c r="Z138" s="16">
        <v>23</v>
      </c>
      <c r="AA138" s="16">
        <v>24</v>
      </c>
      <c r="AB138" s="18">
        <v>25</v>
      </c>
    </row>
    <row r="139" spans="1:29" ht="46.2" customHeight="1" thickBot="1" x14ac:dyDescent="0.35">
      <c r="A139" s="115" t="s">
        <v>167</v>
      </c>
      <c r="B139" s="149" t="s">
        <v>170</v>
      </c>
      <c r="C139" s="150" t="s">
        <v>35</v>
      </c>
      <c r="D139" s="151">
        <v>1.3354860512496999E-2</v>
      </c>
      <c r="E139" s="151">
        <v>4.4556057761920703E-3</v>
      </c>
      <c r="F139" s="151">
        <v>1.3984914455280901E-2</v>
      </c>
      <c r="G139" s="151">
        <v>2.8906830438013499E-3</v>
      </c>
      <c r="H139" s="151">
        <v>0.47364508180459097</v>
      </c>
      <c r="I139" s="151">
        <v>0</v>
      </c>
      <c r="J139" s="151">
        <v>0.16394490094585501</v>
      </c>
      <c r="K139" s="151">
        <v>2.3888674058527499E-4</v>
      </c>
      <c r="L139" s="151">
        <v>3.85217707057117E-3</v>
      </c>
      <c r="M139" s="151">
        <v>7.4040857932564295E-5</v>
      </c>
      <c r="N139" s="151">
        <v>0.31646816292708002</v>
      </c>
      <c r="O139" s="151">
        <v>6.5818554755483302E-6</v>
      </c>
      <c r="P139" s="151">
        <v>2.2222317371222501E-6</v>
      </c>
      <c r="Q139" s="151">
        <v>9.6164621289490699E-7</v>
      </c>
      <c r="R139" s="151">
        <v>1.0874956287512801E-6</v>
      </c>
      <c r="S139" s="151">
        <v>0</v>
      </c>
      <c r="T139" s="151">
        <v>4.0776753656018499E-7</v>
      </c>
      <c r="U139" s="151">
        <v>0</v>
      </c>
      <c r="V139" s="151">
        <v>0</v>
      </c>
      <c r="W139" s="151">
        <v>0</v>
      </c>
      <c r="X139" s="151">
        <v>6.5721346894633999E-3</v>
      </c>
      <c r="Y139" s="151">
        <v>1.78898475920645E-4</v>
      </c>
      <c r="Z139" s="151">
        <v>2.7697381766561303E-4</v>
      </c>
      <c r="AA139" s="151">
        <v>3.5431034179814402E-5</v>
      </c>
      <c r="AB139" s="152">
        <v>1.5986851793119599E-5</v>
      </c>
    </row>
    <row r="140" spans="1:29" ht="14.25" customHeight="1" x14ac:dyDescent="0.3"/>
    <row r="141" spans="1:29" ht="14.25" customHeight="1" x14ac:dyDescent="0.3"/>
    <row r="142" spans="1:29" x14ac:dyDescent="0.3">
      <c r="A142" s="64" t="s">
        <v>39</v>
      </c>
    </row>
    <row r="143" spans="1:29" ht="15" thickBot="1" x14ac:dyDescent="0.35">
      <c r="A143" s="111" t="s">
        <v>146</v>
      </c>
    </row>
    <row r="144" spans="1:29" ht="15.75" customHeight="1" thickBot="1" x14ac:dyDescent="0.35">
      <c r="A144" s="1"/>
      <c r="C144" s="2" t="s">
        <v>1</v>
      </c>
      <c r="D144" s="30" t="s">
        <v>2</v>
      </c>
      <c r="E144" s="16">
        <v>1</v>
      </c>
      <c r="F144" s="16">
        <v>2</v>
      </c>
      <c r="G144" s="16">
        <v>3</v>
      </c>
      <c r="H144" s="16">
        <v>4</v>
      </c>
      <c r="I144" s="16">
        <v>5</v>
      </c>
      <c r="J144" s="16">
        <v>6</v>
      </c>
      <c r="K144" s="16">
        <v>7</v>
      </c>
      <c r="L144" s="16">
        <v>8</v>
      </c>
      <c r="M144" s="16">
        <v>9</v>
      </c>
      <c r="N144" s="16">
        <v>10</v>
      </c>
      <c r="O144" s="16">
        <v>11</v>
      </c>
      <c r="P144" s="16">
        <v>12</v>
      </c>
      <c r="Q144" s="16">
        <v>13</v>
      </c>
      <c r="R144" s="16">
        <v>14</v>
      </c>
      <c r="S144" s="16">
        <v>15</v>
      </c>
      <c r="T144" s="16">
        <v>16</v>
      </c>
      <c r="U144" s="16">
        <v>17</v>
      </c>
      <c r="V144" s="16">
        <v>18</v>
      </c>
      <c r="W144" s="17">
        <v>19</v>
      </c>
      <c r="X144" s="16">
        <v>20</v>
      </c>
      <c r="Y144" s="16">
        <v>21</v>
      </c>
      <c r="Z144" s="16">
        <v>22</v>
      </c>
      <c r="AA144" s="16">
        <v>23</v>
      </c>
      <c r="AB144" s="16">
        <v>24</v>
      </c>
      <c r="AC144" s="18">
        <v>25</v>
      </c>
    </row>
    <row r="145" spans="1:29" ht="29.25" customHeight="1" thickBot="1" x14ac:dyDescent="0.35">
      <c r="A145" s="191" t="s">
        <v>40</v>
      </c>
      <c r="B145" s="4" t="s">
        <v>41</v>
      </c>
      <c r="C145" s="192" t="s">
        <v>68</v>
      </c>
      <c r="D145" s="190" t="s">
        <v>6</v>
      </c>
      <c r="E145" s="155">
        <v>0.183102755453279</v>
      </c>
      <c r="F145" s="153">
        <v>6.6552147597579797E-2</v>
      </c>
      <c r="G145" s="153">
        <v>2.3304635088230399E-2</v>
      </c>
      <c r="H145" s="153">
        <v>7.8867262759172604E-5</v>
      </c>
      <c r="I145" s="153">
        <v>6.7119807105205497E-3</v>
      </c>
      <c r="J145" s="153">
        <v>0</v>
      </c>
      <c r="K145" s="153">
        <v>0.421868693774611</v>
      </c>
      <c r="L145" s="153">
        <v>1.00983198552935E-4</v>
      </c>
      <c r="M145" s="153">
        <v>4.0606329017092699E-2</v>
      </c>
      <c r="N145" s="153">
        <v>5.3951074616342401E-5</v>
      </c>
      <c r="O145" s="153">
        <v>0.105999425647174</v>
      </c>
      <c r="P145" s="153">
        <v>7.4852874482556704E-4</v>
      </c>
      <c r="Q145" s="153">
        <v>4.2733279840750899E-4</v>
      </c>
      <c r="R145" s="153">
        <v>3.59092808502285E-3</v>
      </c>
      <c r="S145" s="153">
        <v>7.6445800538637004E-4</v>
      </c>
      <c r="T145" s="153">
        <v>0</v>
      </c>
      <c r="U145" s="153">
        <v>1.4391329788163E-4</v>
      </c>
      <c r="V145" s="153">
        <v>0</v>
      </c>
      <c r="W145" s="153">
        <v>0</v>
      </c>
      <c r="X145" s="153">
        <v>0</v>
      </c>
      <c r="Y145" s="153">
        <v>4.3197592319519598E-2</v>
      </c>
      <c r="Z145" s="153">
        <v>3.5479881419177101E-2</v>
      </c>
      <c r="AA145" s="153">
        <v>5.8839402736890402E-2</v>
      </c>
      <c r="AB145" s="153">
        <v>7.8505530456500806E-3</v>
      </c>
      <c r="AC145" s="154">
        <v>5.7764072282332499E-4</v>
      </c>
    </row>
    <row r="146" spans="1:29" ht="29.25" customHeight="1" thickBot="1" x14ac:dyDescent="0.35">
      <c r="A146" s="191"/>
      <c r="B146" s="10" t="s">
        <v>42</v>
      </c>
      <c r="C146" s="192"/>
      <c r="D146" s="190"/>
      <c r="E146" s="156">
        <v>1355.8</v>
      </c>
      <c r="F146" s="50">
        <v>1355.8</v>
      </c>
      <c r="G146" s="50">
        <v>1355.8</v>
      </c>
      <c r="H146" s="50">
        <v>1355.8</v>
      </c>
      <c r="I146" s="50">
        <v>1355.8</v>
      </c>
      <c r="J146" s="50">
        <v>1355.8</v>
      </c>
      <c r="K146" s="50">
        <v>1355.8</v>
      </c>
      <c r="L146" s="50">
        <v>1355.8</v>
      </c>
      <c r="M146" s="50">
        <v>1355.8</v>
      </c>
      <c r="N146" s="50">
        <v>1355.8</v>
      </c>
      <c r="O146" s="50">
        <v>1355.8</v>
      </c>
      <c r="P146" s="50">
        <v>1355.8</v>
      </c>
      <c r="Q146" s="50">
        <v>1355.8</v>
      </c>
      <c r="R146" s="50">
        <v>1355.8</v>
      </c>
      <c r="S146" s="50">
        <v>1355.8</v>
      </c>
      <c r="T146" s="50">
        <v>1355.8</v>
      </c>
      <c r="U146" s="50">
        <v>1355.8</v>
      </c>
      <c r="V146" s="50">
        <v>1355.8</v>
      </c>
      <c r="W146" s="50">
        <v>1355.8</v>
      </c>
      <c r="X146" s="50">
        <v>1355.8</v>
      </c>
      <c r="Y146" s="50">
        <v>1355.8</v>
      </c>
      <c r="Z146" s="50">
        <v>1355.8</v>
      </c>
      <c r="AA146" s="50">
        <v>1355.8</v>
      </c>
      <c r="AB146" s="50">
        <v>1355.8</v>
      </c>
      <c r="AC146" s="51">
        <v>1355.8</v>
      </c>
    </row>
    <row r="147" spans="1:29" ht="29.25" customHeight="1" thickBot="1" x14ac:dyDescent="0.35">
      <c r="A147" s="191" t="s">
        <v>43</v>
      </c>
      <c r="B147" s="4" t="s">
        <v>41</v>
      </c>
      <c r="C147" s="192"/>
      <c r="D147" s="190"/>
      <c r="E147" s="156">
        <v>0.109266931318397</v>
      </c>
      <c r="F147" s="50">
        <v>4.71581971649132E-2</v>
      </c>
      <c r="G147" s="50">
        <v>1.99789722312665E-2</v>
      </c>
      <c r="H147" s="50">
        <v>1.0354465705488E-4</v>
      </c>
      <c r="I147" s="50">
        <v>2.90507977258312E-3</v>
      </c>
      <c r="J147" s="50">
        <v>0</v>
      </c>
      <c r="K147" s="50">
        <v>0.50745220702946303</v>
      </c>
      <c r="L147" s="50">
        <v>2.1905702948877401E-4</v>
      </c>
      <c r="M147" s="50">
        <v>2.0807698964848201E-2</v>
      </c>
      <c r="N147" s="50">
        <v>2.19420408662432E-4</v>
      </c>
      <c r="O147" s="50">
        <v>7.1748030512120406E-2</v>
      </c>
      <c r="P147" s="50">
        <v>3.4853095242466198E-4</v>
      </c>
      <c r="Q147" s="50">
        <v>1.8692365649387201E-4</v>
      </c>
      <c r="R147" s="50">
        <v>1.6613561319477599E-3</v>
      </c>
      <c r="S147" s="50">
        <v>4.1491485789861202E-4</v>
      </c>
      <c r="T147" s="50">
        <v>0</v>
      </c>
      <c r="U147" s="50">
        <v>8.8673561889564305E-5</v>
      </c>
      <c r="V147" s="50">
        <v>0</v>
      </c>
      <c r="W147" s="50">
        <v>0</v>
      </c>
      <c r="X147" s="50">
        <v>0</v>
      </c>
      <c r="Y147" s="50">
        <v>3.6948619034443103E-2</v>
      </c>
      <c r="Z147" s="50">
        <v>7.3594333702504594E-2</v>
      </c>
      <c r="AA147" s="50">
        <v>9.6595896270039505E-2</v>
      </c>
      <c r="AB147" s="50">
        <v>9.9623683496096998E-3</v>
      </c>
      <c r="AC147" s="51">
        <v>3.3924439395113299E-4</v>
      </c>
    </row>
    <row r="148" spans="1:29" ht="29.25" customHeight="1" thickBot="1" x14ac:dyDescent="0.35">
      <c r="A148" s="191"/>
      <c r="B148" s="10" t="s">
        <v>42</v>
      </c>
      <c r="C148" s="192"/>
      <c r="D148" s="190"/>
      <c r="E148" s="156">
        <v>3838.509</v>
      </c>
      <c r="F148" s="50">
        <v>3838.509</v>
      </c>
      <c r="G148" s="50">
        <v>3838.509</v>
      </c>
      <c r="H148" s="50">
        <v>3838.509</v>
      </c>
      <c r="I148" s="50">
        <v>3838.509</v>
      </c>
      <c r="J148" s="50">
        <v>3838.509</v>
      </c>
      <c r="K148" s="50">
        <v>3838.509</v>
      </c>
      <c r="L148" s="50">
        <v>3838.509</v>
      </c>
      <c r="M148" s="50">
        <v>3838.509</v>
      </c>
      <c r="N148" s="50">
        <v>3838.509</v>
      </c>
      <c r="O148" s="50">
        <v>3838.509</v>
      </c>
      <c r="P148" s="50">
        <v>3838.509</v>
      </c>
      <c r="Q148" s="50">
        <v>3838.509</v>
      </c>
      <c r="R148" s="50">
        <v>3838.509</v>
      </c>
      <c r="S148" s="50">
        <v>3838.509</v>
      </c>
      <c r="T148" s="50">
        <v>3838.509</v>
      </c>
      <c r="U148" s="50">
        <v>3838.509</v>
      </c>
      <c r="V148" s="50">
        <v>3838.509</v>
      </c>
      <c r="W148" s="50">
        <v>3838.509</v>
      </c>
      <c r="X148" s="50">
        <v>3838.509</v>
      </c>
      <c r="Y148" s="50">
        <v>3838.509</v>
      </c>
      <c r="Z148" s="50">
        <v>3838.509</v>
      </c>
      <c r="AA148" s="50">
        <v>3838.509</v>
      </c>
      <c r="AB148" s="50">
        <v>3838.509</v>
      </c>
      <c r="AC148" s="51">
        <v>3838.509</v>
      </c>
    </row>
    <row r="149" spans="1:29" ht="29.25" customHeight="1" thickBot="1" x14ac:dyDescent="0.35">
      <c r="A149" s="191" t="s">
        <v>44</v>
      </c>
      <c r="B149" s="4" t="s">
        <v>41</v>
      </c>
      <c r="C149" s="192"/>
      <c r="D149" s="190"/>
      <c r="E149" s="156">
        <v>3.3147933324724037E-2</v>
      </c>
      <c r="F149" s="50">
        <v>2.6300567355410892E-2</v>
      </c>
      <c r="G149" s="50">
        <v>1.7379545104035471E-2</v>
      </c>
      <c r="H149" s="50">
        <v>3.8369524783303149E-5</v>
      </c>
      <c r="I149" s="50">
        <v>3.1819237608007559E-3</v>
      </c>
      <c r="J149" s="50">
        <v>0</v>
      </c>
      <c r="K149" s="50">
        <v>0.63743636630192901</v>
      </c>
      <c r="L149" s="50">
        <v>2.5234872334694992E-7</v>
      </c>
      <c r="M149" s="50">
        <v>1.9155729023446078E-2</v>
      </c>
      <c r="N149" s="50">
        <v>1.0130480791424793E-4</v>
      </c>
      <c r="O149" s="50">
        <v>5.6164601639262624E-2</v>
      </c>
      <c r="P149" s="50">
        <v>5.7197534886472179E-4</v>
      </c>
      <c r="Q149" s="50">
        <v>1.2268422573904277E-3</v>
      </c>
      <c r="R149" s="50">
        <v>2.2036529740125997E-3</v>
      </c>
      <c r="S149" s="50">
        <v>7.0203775193014041E-4</v>
      </c>
      <c r="T149" s="50">
        <v>0</v>
      </c>
      <c r="U149" s="50">
        <v>1.3516657688700227E-4</v>
      </c>
      <c r="V149" s="50">
        <v>0</v>
      </c>
      <c r="W149" s="50">
        <v>0</v>
      </c>
      <c r="X149" s="50">
        <v>0</v>
      </c>
      <c r="Y149" s="50">
        <v>4.3207153834246247E-2</v>
      </c>
      <c r="Z149" s="50">
        <v>3.1416056705369802E-2</v>
      </c>
      <c r="AA149" s="50">
        <v>0.12263296758304973</v>
      </c>
      <c r="AB149" s="50">
        <v>4.0301187429127869E-3</v>
      </c>
      <c r="AC149" s="51">
        <v>9.6743503430694498E-4</v>
      </c>
    </row>
    <row r="150" spans="1:29" ht="29.25" customHeight="1" thickBot="1" x14ac:dyDescent="0.35">
      <c r="A150" s="191"/>
      <c r="B150" s="10" t="s">
        <v>42</v>
      </c>
      <c r="C150" s="192"/>
      <c r="D150" s="190"/>
      <c r="E150" s="26">
        <v>24672.571</v>
      </c>
      <c r="F150" s="27">
        <v>24672.571</v>
      </c>
      <c r="G150" s="27">
        <v>24672.571</v>
      </c>
      <c r="H150" s="27">
        <v>24672.571</v>
      </c>
      <c r="I150" s="27">
        <v>24672.571</v>
      </c>
      <c r="J150" s="27">
        <v>24672.571</v>
      </c>
      <c r="K150" s="27">
        <v>24672.571</v>
      </c>
      <c r="L150" s="27">
        <v>24672.571</v>
      </c>
      <c r="M150" s="27">
        <v>24672.571</v>
      </c>
      <c r="N150" s="27">
        <v>24672.571</v>
      </c>
      <c r="O150" s="27">
        <v>24672.571</v>
      </c>
      <c r="P150" s="27">
        <v>24672.571</v>
      </c>
      <c r="Q150" s="27">
        <v>24672.571</v>
      </c>
      <c r="R150" s="27">
        <v>24672.571</v>
      </c>
      <c r="S150" s="27">
        <v>24672.571</v>
      </c>
      <c r="T150" s="27">
        <v>24672.571</v>
      </c>
      <c r="U150" s="27">
        <v>24672.571</v>
      </c>
      <c r="V150" s="27">
        <v>24672.571</v>
      </c>
      <c r="W150" s="27">
        <v>24672.571</v>
      </c>
      <c r="X150" s="27">
        <v>24672.571</v>
      </c>
      <c r="Y150" s="27">
        <v>24672.571</v>
      </c>
      <c r="Z150" s="27">
        <v>24672.571</v>
      </c>
      <c r="AA150" s="27">
        <v>24672.571</v>
      </c>
      <c r="AB150" s="27">
        <v>24672.571</v>
      </c>
      <c r="AC150" s="28">
        <v>24672.571</v>
      </c>
    </row>
    <row r="151" spans="1:29" x14ac:dyDescent="0.3">
      <c r="A151" s="52"/>
    </row>
    <row r="152" spans="1:29" ht="15" thickBot="1" x14ac:dyDescent="0.35">
      <c r="A152" s="111" t="s">
        <v>147</v>
      </c>
    </row>
    <row r="153" spans="1:29" ht="15.75" customHeight="1" thickBot="1" x14ac:dyDescent="0.35">
      <c r="A153" s="1"/>
      <c r="C153" s="2" t="s">
        <v>1</v>
      </c>
      <c r="D153" s="30" t="s">
        <v>2</v>
      </c>
      <c r="E153" s="16">
        <v>1</v>
      </c>
      <c r="F153" s="16">
        <v>2</v>
      </c>
      <c r="G153" s="16">
        <v>3</v>
      </c>
      <c r="H153" s="16">
        <v>4</v>
      </c>
      <c r="I153" s="16">
        <v>5</v>
      </c>
      <c r="J153" s="16">
        <v>6</v>
      </c>
      <c r="K153" s="16">
        <v>7</v>
      </c>
      <c r="L153" s="16">
        <v>8</v>
      </c>
      <c r="M153" s="16">
        <v>9</v>
      </c>
      <c r="N153" s="16">
        <v>10</v>
      </c>
      <c r="O153" s="16">
        <v>11</v>
      </c>
      <c r="P153" s="16">
        <v>12</v>
      </c>
      <c r="Q153" s="16">
        <v>13</v>
      </c>
      <c r="R153" s="16">
        <v>14</v>
      </c>
      <c r="S153" s="16">
        <v>15</v>
      </c>
      <c r="T153" s="16">
        <v>16</v>
      </c>
      <c r="U153" s="16">
        <v>17</v>
      </c>
      <c r="V153" s="16">
        <v>18</v>
      </c>
      <c r="W153" s="17">
        <v>19</v>
      </c>
      <c r="X153" s="16">
        <v>20</v>
      </c>
      <c r="Y153" s="16">
        <v>21</v>
      </c>
      <c r="Z153" s="16">
        <v>22</v>
      </c>
      <c r="AA153" s="16">
        <v>23</v>
      </c>
      <c r="AB153" s="16">
        <v>24</v>
      </c>
      <c r="AC153" s="18">
        <v>25</v>
      </c>
    </row>
    <row r="154" spans="1:29" ht="29.25" customHeight="1" thickBot="1" x14ac:dyDescent="0.35">
      <c r="A154" s="191" t="s">
        <v>40</v>
      </c>
      <c r="B154" s="4" t="s">
        <v>41</v>
      </c>
      <c r="C154" s="192" t="s">
        <v>68</v>
      </c>
      <c r="D154" s="190" t="s">
        <v>6</v>
      </c>
      <c r="E154" s="155">
        <v>0.18182528366234582</v>
      </c>
      <c r="F154" s="153">
        <v>6.6087826397325702E-2</v>
      </c>
      <c r="G154" s="153">
        <v>2.5713381386892453E-2</v>
      </c>
      <c r="H154" s="153">
        <v>7.8317021430725591E-5</v>
      </c>
      <c r="I154" s="153">
        <v>6.665152545658976E-3</v>
      </c>
      <c r="J154" s="153">
        <v>0</v>
      </c>
      <c r="K154" s="153">
        <v>0.4189253991505596</v>
      </c>
      <c r="L154" s="153">
        <v>1.0027865870485755E-4</v>
      </c>
      <c r="M154" s="153">
        <v>4.0323026672874795E-2</v>
      </c>
      <c r="N154" s="153">
        <v>5.9527409572841497E-5</v>
      </c>
      <c r="O154" s="153">
        <v>0.10525988857257264</v>
      </c>
      <c r="P154" s="153">
        <v>7.4330640748908189E-3</v>
      </c>
      <c r="Q154" s="153">
        <v>7.0725230300621789E-4</v>
      </c>
      <c r="R154" s="153">
        <v>1.7988045420553841E-3</v>
      </c>
      <c r="S154" s="153">
        <v>9.3795299828934215E-5</v>
      </c>
      <c r="T154" s="153">
        <v>0</v>
      </c>
      <c r="U154" s="153">
        <v>2.1620122197786488E-6</v>
      </c>
      <c r="V154" s="153">
        <v>0</v>
      </c>
      <c r="W154" s="153">
        <v>0</v>
      </c>
      <c r="X154" s="153">
        <v>0</v>
      </c>
      <c r="Y154" s="153">
        <v>4.2896211242605765E-2</v>
      </c>
      <c r="Z154" s="153">
        <v>3.5232345288186369E-2</v>
      </c>
      <c r="AA154" s="153">
        <v>5.8428891835480772E-2</v>
      </c>
      <c r="AB154" s="153">
        <v>7.7957812862944524E-3</v>
      </c>
      <c r="AC154" s="154">
        <v>5.7361063749296435E-4</v>
      </c>
    </row>
    <row r="155" spans="1:29" ht="29.25" customHeight="1" thickBot="1" x14ac:dyDescent="0.35">
      <c r="A155" s="191"/>
      <c r="B155" s="10" t="s">
        <v>42</v>
      </c>
      <c r="C155" s="192"/>
      <c r="D155" s="190"/>
      <c r="E155" s="156">
        <v>1355.8</v>
      </c>
      <c r="F155" s="50">
        <v>1355.8</v>
      </c>
      <c r="G155" s="50">
        <v>1355.8</v>
      </c>
      <c r="H155" s="50">
        <v>1355.8</v>
      </c>
      <c r="I155" s="50">
        <v>1355.8</v>
      </c>
      <c r="J155" s="50">
        <v>1355.8</v>
      </c>
      <c r="K155" s="50">
        <v>1355.8</v>
      </c>
      <c r="L155" s="50">
        <v>1355.8</v>
      </c>
      <c r="M155" s="50">
        <v>1355.8</v>
      </c>
      <c r="N155" s="50">
        <v>1355.8</v>
      </c>
      <c r="O155" s="50">
        <v>1355.8</v>
      </c>
      <c r="P155" s="50">
        <v>1355.8</v>
      </c>
      <c r="Q155" s="50">
        <v>1355.8</v>
      </c>
      <c r="R155" s="50">
        <v>1355.8</v>
      </c>
      <c r="S155" s="50">
        <v>1355.8</v>
      </c>
      <c r="T155" s="50">
        <v>1355.8</v>
      </c>
      <c r="U155" s="50">
        <v>1355.8</v>
      </c>
      <c r="V155" s="50">
        <v>1355.8</v>
      </c>
      <c r="W155" s="50">
        <v>1355.8</v>
      </c>
      <c r="X155" s="50">
        <v>1355.8</v>
      </c>
      <c r="Y155" s="50">
        <v>1355.8</v>
      </c>
      <c r="Z155" s="50">
        <v>1355.8</v>
      </c>
      <c r="AA155" s="50">
        <v>1355.8</v>
      </c>
      <c r="AB155" s="50">
        <v>1355.8</v>
      </c>
      <c r="AC155" s="51">
        <v>1355.8</v>
      </c>
    </row>
    <row r="156" spans="1:29" ht="29.25" customHeight="1" thickBot="1" x14ac:dyDescent="0.35">
      <c r="A156" s="191" t="s">
        <v>43</v>
      </c>
      <c r="B156" s="4" t="s">
        <v>41</v>
      </c>
      <c r="C156" s="192"/>
      <c r="D156" s="190"/>
      <c r="E156" s="156">
        <v>0.1088119136462488</v>
      </c>
      <c r="F156" s="50">
        <v>4.6961817410876357E-2</v>
      </c>
      <c r="G156" s="50">
        <v>2.2106415860466643E-2</v>
      </c>
      <c r="H156" s="50">
        <v>1.0311346851276609E-4</v>
      </c>
      <c r="I156" s="50">
        <v>2.8929822182766586E-3</v>
      </c>
      <c r="J156" s="50">
        <v>0</v>
      </c>
      <c r="K156" s="50">
        <v>0.50533903592469365</v>
      </c>
      <c r="L156" s="50">
        <v>2.181448155332531E-4</v>
      </c>
      <c r="M156" s="50">
        <v>2.0721049961059897E-2</v>
      </c>
      <c r="N156" s="50">
        <v>2.4278520166188673E-4</v>
      </c>
      <c r="O156" s="50">
        <v>7.1449251902426597E-2</v>
      </c>
      <c r="P156" s="50">
        <v>3.4707957330446233E-3</v>
      </c>
      <c r="Q156" s="50">
        <v>3.102420912932971E-4</v>
      </c>
      <c r="R156" s="50">
        <v>8.3101498684396877E-4</v>
      </c>
      <c r="S156" s="50">
        <v>4.5896752732683492E-6</v>
      </c>
      <c r="T156" s="50">
        <v>0</v>
      </c>
      <c r="U156" s="50">
        <v>1.8674743424965428E-6</v>
      </c>
      <c r="V156" s="50">
        <v>0</v>
      </c>
      <c r="W156" s="50">
        <v>0</v>
      </c>
      <c r="X156" s="50">
        <v>0</v>
      </c>
      <c r="Y156" s="50">
        <v>3.679475478274976E-2</v>
      </c>
      <c r="Z156" s="50">
        <v>7.3287866576535729E-2</v>
      </c>
      <c r="AA156" s="50">
        <v>9.6193644286484137E-2</v>
      </c>
      <c r="AB156" s="50">
        <v>9.9208822970517588E-3</v>
      </c>
      <c r="AC156" s="51">
        <v>3.3783168662456658E-4</v>
      </c>
    </row>
    <row r="157" spans="1:29" ht="29.25" customHeight="1" thickBot="1" x14ac:dyDescent="0.35">
      <c r="A157" s="191"/>
      <c r="B157" s="10" t="s">
        <v>42</v>
      </c>
      <c r="C157" s="192"/>
      <c r="D157" s="190"/>
      <c r="E157" s="156">
        <v>3838.509</v>
      </c>
      <c r="F157" s="50">
        <v>3838.509</v>
      </c>
      <c r="G157" s="50">
        <v>3838.509</v>
      </c>
      <c r="H157" s="50">
        <v>3838.509</v>
      </c>
      <c r="I157" s="50">
        <v>3838.509</v>
      </c>
      <c r="J157" s="50">
        <v>3838.509</v>
      </c>
      <c r="K157" s="50">
        <v>3838.509</v>
      </c>
      <c r="L157" s="50">
        <v>3838.509</v>
      </c>
      <c r="M157" s="50">
        <v>3838.509</v>
      </c>
      <c r="N157" s="50">
        <v>3838.509</v>
      </c>
      <c r="O157" s="50">
        <v>3838.509</v>
      </c>
      <c r="P157" s="50">
        <v>3838.509</v>
      </c>
      <c r="Q157" s="50">
        <v>3838.509</v>
      </c>
      <c r="R157" s="50">
        <v>3838.509</v>
      </c>
      <c r="S157" s="50">
        <v>3838.509</v>
      </c>
      <c r="T157" s="50">
        <v>3838.509</v>
      </c>
      <c r="U157" s="50">
        <v>3838.509</v>
      </c>
      <c r="V157" s="50">
        <v>3838.509</v>
      </c>
      <c r="W157" s="50">
        <v>3838.509</v>
      </c>
      <c r="X157" s="50">
        <v>3838.509</v>
      </c>
      <c r="Y157" s="50">
        <v>3838.509</v>
      </c>
      <c r="Z157" s="50">
        <v>3838.509</v>
      </c>
      <c r="AA157" s="50">
        <v>3838.509</v>
      </c>
      <c r="AB157" s="50">
        <v>3838.509</v>
      </c>
      <c r="AC157" s="51">
        <v>3838.509</v>
      </c>
    </row>
    <row r="158" spans="1:29" ht="29.25" customHeight="1" thickBot="1" x14ac:dyDescent="0.35">
      <c r="A158" s="191" t="s">
        <v>44</v>
      </c>
      <c r="B158" s="4" t="s">
        <v>41</v>
      </c>
      <c r="C158" s="192"/>
      <c r="D158" s="190"/>
      <c r="E158" s="156">
        <v>3.29584781272707E-2</v>
      </c>
      <c r="F158" s="50">
        <v>2.6150247903134853E-2</v>
      </c>
      <c r="G158" s="50">
        <v>1.9200236962050858E-2</v>
      </c>
      <c r="H158" s="50">
        <v>3.8150225865847204E-5</v>
      </c>
      <c r="I158" s="50">
        <v>3.1637376498152353E-3</v>
      </c>
      <c r="J158" s="50">
        <v>0</v>
      </c>
      <c r="K158" s="50">
        <v>0.63379313366179246</v>
      </c>
      <c r="L158" s="50">
        <v>2.5090643803943247E-7</v>
      </c>
      <c r="M158" s="50">
        <v>1.9046245503344026E-2</v>
      </c>
      <c r="N158" s="50">
        <v>1.1191756203659021E-4</v>
      </c>
      <c r="O158" s="50">
        <v>5.5843595934646904E-2</v>
      </c>
      <c r="P158" s="50">
        <v>5.6870625508454401E-3</v>
      </c>
      <c r="Q158" s="50">
        <v>2.0330505127677963E-3</v>
      </c>
      <c r="R158" s="50">
        <v>7.1277359601784834E-4</v>
      </c>
      <c r="S158" s="50">
        <v>1.4578656518419506E-4</v>
      </c>
      <c r="T158" s="50">
        <v>0</v>
      </c>
      <c r="U158" s="50">
        <v>1.7570566434504267E-5</v>
      </c>
      <c r="V158" s="50">
        <v>0</v>
      </c>
      <c r="W158" s="50">
        <v>0</v>
      </c>
      <c r="X158" s="50">
        <v>0</v>
      </c>
      <c r="Y158" s="50">
        <v>4.2960205712899519E-2</v>
      </c>
      <c r="Z158" s="50">
        <v>3.1236499953881978E-2</v>
      </c>
      <c r="AA158" s="50">
        <v>0.12193206557325838</v>
      </c>
      <c r="AB158" s="50">
        <v>4.0070848199614097E-3</v>
      </c>
      <c r="AC158" s="51">
        <v>9.6190571235337322E-4</v>
      </c>
    </row>
    <row r="159" spans="1:29" ht="29.25" customHeight="1" thickBot="1" x14ac:dyDescent="0.35">
      <c r="A159" s="191"/>
      <c r="B159" s="10" t="s">
        <v>42</v>
      </c>
      <c r="C159" s="192"/>
      <c r="D159" s="190"/>
      <c r="E159" s="26">
        <v>24672.571</v>
      </c>
      <c r="F159" s="27">
        <v>24672.571</v>
      </c>
      <c r="G159" s="27">
        <v>24672.571</v>
      </c>
      <c r="H159" s="27">
        <v>24672.571</v>
      </c>
      <c r="I159" s="27">
        <v>24672.571</v>
      </c>
      <c r="J159" s="27">
        <v>24672.571</v>
      </c>
      <c r="K159" s="27">
        <v>24672.571</v>
      </c>
      <c r="L159" s="27">
        <v>24672.571</v>
      </c>
      <c r="M159" s="27">
        <v>24672.571</v>
      </c>
      <c r="N159" s="27">
        <v>24672.571</v>
      </c>
      <c r="O159" s="27">
        <v>24672.571</v>
      </c>
      <c r="P159" s="27">
        <v>24672.571</v>
      </c>
      <c r="Q159" s="27">
        <v>24672.571</v>
      </c>
      <c r="R159" s="27">
        <v>24672.571</v>
      </c>
      <c r="S159" s="27">
        <v>24672.571</v>
      </c>
      <c r="T159" s="27">
        <v>24672.571</v>
      </c>
      <c r="U159" s="27">
        <v>24672.571</v>
      </c>
      <c r="V159" s="27">
        <v>24672.571</v>
      </c>
      <c r="W159" s="27">
        <v>24672.571</v>
      </c>
      <c r="X159" s="27">
        <v>24672.571</v>
      </c>
      <c r="Y159" s="27">
        <v>24672.571</v>
      </c>
      <c r="Z159" s="27">
        <v>24672.571</v>
      </c>
      <c r="AA159" s="27">
        <v>24672.571</v>
      </c>
      <c r="AB159" s="27">
        <v>24672.571</v>
      </c>
      <c r="AC159" s="28">
        <v>24672.571</v>
      </c>
    </row>
    <row r="160" spans="1:29" x14ac:dyDescent="0.3">
      <c r="A160" s="52"/>
    </row>
    <row r="161" spans="1:29" ht="15" thickBot="1" x14ac:dyDescent="0.35">
      <c r="A161" s="111" t="s">
        <v>148</v>
      </c>
    </row>
    <row r="162" spans="1:29" ht="15.75" customHeight="1" thickBot="1" x14ac:dyDescent="0.35">
      <c r="A162" s="1"/>
      <c r="C162" s="2" t="s">
        <v>1</v>
      </c>
      <c r="D162" s="30" t="s">
        <v>2</v>
      </c>
      <c r="E162" s="16">
        <v>1</v>
      </c>
      <c r="F162" s="16">
        <v>2</v>
      </c>
      <c r="G162" s="16">
        <v>3</v>
      </c>
      <c r="H162" s="16">
        <v>4</v>
      </c>
      <c r="I162" s="16">
        <v>5</v>
      </c>
      <c r="J162" s="16">
        <v>6</v>
      </c>
      <c r="K162" s="16">
        <v>7</v>
      </c>
      <c r="L162" s="16">
        <v>8</v>
      </c>
      <c r="M162" s="16">
        <v>9</v>
      </c>
      <c r="N162" s="16">
        <v>10</v>
      </c>
      <c r="O162" s="16">
        <v>11</v>
      </c>
      <c r="P162" s="16">
        <v>12</v>
      </c>
      <c r="Q162" s="16">
        <v>13</v>
      </c>
      <c r="R162" s="16">
        <v>14</v>
      </c>
      <c r="S162" s="16">
        <v>15</v>
      </c>
      <c r="T162" s="16">
        <v>16</v>
      </c>
      <c r="U162" s="16">
        <v>17</v>
      </c>
      <c r="V162" s="16">
        <v>18</v>
      </c>
      <c r="W162" s="17">
        <v>19</v>
      </c>
      <c r="X162" s="16">
        <v>20</v>
      </c>
      <c r="Y162" s="16">
        <v>21</v>
      </c>
      <c r="Z162" s="16">
        <v>22</v>
      </c>
      <c r="AA162" s="16">
        <v>23</v>
      </c>
      <c r="AB162" s="16">
        <v>24</v>
      </c>
      <c r="AC162" s="18">
        <v>25</v>
      </c>
    </row>
    <row r="163" spans="1:29" ht="29.25" customHeight="1" thickBot="1" x14ac:dyDescent="0.35">
      <c r="A163" s="191" t="s">
        <v>40</v>
      </c>
      <c r="B163" s="4" t="s">
        <v>41</v>
      </c>
      <c r="C163" s="192" t="s">
        <v>68</v>
      </c>
      <c r="D163" s="190" t="s">
        <v>6</v>
      </c>
      <c r="E163" s="155">
        <v>0.18182528366234599</v>
      </c>
      <c r="F163" s="153">
        <v>6.6087826397325702E-2</v>
      </c>
      <c r="G163" s="153">
        <v>2.5713381386892501E-2</v>
      </c>
      <c r="H163" s="153">
        <v>7.8317021430725605E-5</v>
      </c>
      <c r="I163" s="153">
        <v>6.6651525456589804E-3</v>
      </c>
      <c r="J163" s="153">
        <v>0</v>
      </c>
      <c r="K163" s="153">
        <v>0.41892539915055999</v>
      </c>
      <c r="L163" s="153">
        <v>1.00278658704858E-4</v>
      </c>
      <c r="M163" s="153">
        <v>4.0323026672874802E-2</v>
      </c>
      <c r="N163" s="153">
        <v>5.9527409572841497E-5</v>
      </c>
      <c r="O163" s="153">
        <v>0.105259888572573</v>
      </c>
      <c r="P163" s="153">
        <v>7.4330640748908198E-3</v>
      </c>
      <c r="Q163" s="153">
        <v>7.07252303006218E-4</v>
      </c>
      <c r="R163" s="153">
        <v>1.7988045420553799E-3</v>
      </c>
      <c r="S163" s="153">
        <v>9.3795299828934201E-5</v>
      </c>
      <c r="T163" s="153">
        <v>0</v>
      </c>
      <c r="U163" s="153">
        <v>2.16201221977865E-6</v>
      </c>
      <c r="V163" s="153">
        <v>0</v>
      </c>
      <c r="W163" s="153">
        <v>0</v>
      </c>
      <c r="X163" s="153">
        <v>0</v>
      </c>
      <c r="Y163" s="153">
        <v>4.28962112426058E-2</v>
      </c>
      <c r="Z163" s="153">
        <v>3.5232345288186397E-2</v>
      </c>
      <c r="AA163" s="153">
        <v>5.8428891835480799E-2</v>
      </c>
      <c r="AB163" s="153">
        <v>7.7957812862944498E-3</v>
      </c>
      <c r="AC163" s="154">
        <v>5.7361063749296402E-4</v>
      </c>
    </row>
    <row r="164" spans="1:29" ht="29.25" customHeight="1" thickBot="1" x14ac:dyDescent="0.35">
      <c r="A164" s="191"/>
      <c r="B164" s="10" t="s">
        <v>42</v>
      </c>
      <c r="C164" s="192"/>
      <c r="D164" s="190"/>
      <c r="E164" s="156">
        <v>1355.8</v>
      </c>
      <c r="F164" s="50">
        <v>1355.8</v>
      </c>
      <c r="G164" s="50">
        <v>1355.8</v>
      </c>
      <c r="H164" s="50">
        <v>1355.8</v>
      </c>
      <c r="I164" s="50">
        <v>1355.8</v>
      </c>
      <c r="J164" s="50">
        <v>1355.8</v>
      </c>
      <c r="K164" s="50">
        <v>1355.8</v>
      </c>
      <c r="L164" s="50">
        <v>1355.8</v>
      </c>
      <c r="M164" s="50">
        <v>1355.8</v>
      </c>
      <c r="N164" s="50">
        <v>1355.8</v>
      </c>
      <c r="O164" s="50">
        <v>1355.8</v>
      </c>
      <c r="P164" s="50">
        <v>1355.8</v>
      </c>
      <c r="Q164" s="50">
        <v>1355.8</v>
      </c>
      <c r="R164" s="50">
        <v>1355.8</v>
      </c>
      <c r="S164" s="50">
        <v>1355.8</v>
      </c>
      <c r="T164" s="50">
        <v>1355.8</v>
      </c>
      <c r="U164" s="50">
        <v>1355.8</v>
      </c>
      <c r="V164" s="50">
        <v>1355.8</v>
      </c>
      <c r="W164" s="50">
        <v>1355.8</v>
      </c>
      <c r="X164" s="50">
        <v>1355.8</v>
      </c>
      <c r="Y164" s="50">
        <v>1355.8</v>
      </c>
      <c r="Z164" s="50">
        <v>1355.8</v>
      </c>
      <c r="AA164" s="50">
        <v>1355.8</v>
      </c>
      <c r="AB164" s="50">
        <v>1355.8</v>
      </c>
      <c r="AC164" s="51">
        <v>1355.8</v>
      </c>
    </row>
    <row r="165" spans="1:29" ht="29.25" customHeight="1" thickBot="1" x14ac:dyDescent="0.35">
      <c r="A165" s="191" t="s">
        <v>43</v>
      </c>
      <c r="B165" s="4" t="s">
        <v>41</v>
      </c>
      <c r="C165" s="192"/>
      <c r="D165" s="190"/>
      <c r="E165" s="156">
        <v>0.10881191364624899</v>
      </c>
      <c r="F165" s="50">
        <v>4.6961817410876398E-2</v>
      </c>
      <c r="G165" s="50">
        <v>2.2106415860466602E-2</v>
      </c>
      <c r="H165" s="50">
        <v>1.03113468512766E-4</v>
      </c>
      <c r="I165" s="50">
        <v>2.8929822182766599E-3</v>
      </c>
      <c r="J165" s="50">
        <v>0</v>
      </c>
      <c r="K165" s="50">
        <v>0.50533903592469398</v>
      </c>
      <c r="L165" s="50">
        <v>2.1814481553325299E-4</v>
      </c>
      <c r="M165" s="50">
        <v>2.07210499610599E-2</v>
      </c>
      <c r="N165" s="50">
        <v>2.4278520166188701E-4</v>
      </c>
      <c r="O165" s="50">
        <v>7.1449251902426597E-2</v>
      </c>
      <c r="P165" s="50">
        <v>3.4707957330446198E-3</v>
      </c>
      <c r="Q165" s="50">
        <v>3.1024209129329699E-4</v>
      </c>
      <c r="R165" s="50">
        <v>8.3101498684396899E-4</v>
      </c>
      <c r="S165" s="50">
        <v>4.58967527326835E-6</v>
      </c>
      <c r="T165" s="50">
        <v>0</v>
      </c>
      <c r="U165" s="50">
        <v>1.86747434249654E-6</v>
      </c>
      <c r="V165" s="50">
        <v>0</v>
      </c>
      <c r="W165" s="50">
        <v>0</v>
      </c>
      <c r="X165" s="50">
        <v>0</v>
      </c>
      <c r="Y165" s="50">
        <v>3.6794754782749801E-2</v>
      </c>
      <c r="Z165" s="50">
        <v>7.3287866576535701E-2</v>
      </c>
      <c r="AA165" s="50">
        <v>9.6193644286484095E-2</v>
      </c>
      <c r="AB165" s="50">
        <v>9.9208822970517606E-3</v>
      </c>
      <c r="AC165" s="51">
        <v>3.3783168662456702E-4</v>
      </c>
    </row>
    <row r="166" spans="1:29" ht="29.25" customHeight="1" thickBot="1" x14ac:dyDescent="0.35">
      <c r="A166" s="191"/>
      <c r="B166" s="10" t="s">
        <v>42</v>
      </c>
      <c r="C166" s="192"/>
      <c r="D166" s="190"/>
      <c r="E166" s="156">
        <v>3838.509</v>
      </c>
      <c r="F166" s="50">
        <v>3838.509</v>
      </c>
      <c r="G166" s="50">
        <v>3838.509</v>
      </c>
      <c r="H166" s="50">
        <v>3838.509</v>
      </c>
      <c r="I166" s="50">
        <v>3838.509</v>
      </c>
      <c r="J166" s="50">
        <v>3838.509</v>
      </c>
      <c r="K166" s="50">
        <v>3838.509</v>
      </c>
      <c r="L166" s="50">
        <v>3838.509</v>
      </c>
      <c r="M166" s="50">
        <v>3838.509</v>
      </c>
      <c r="N166" s="50">
        <v>3838.509</v>
      </c>
      <c r="O166" s="50">
        <v>3838.509</v>
      </c>
      <c r="P166" s="50">
        <v>3838.509</v>
      </c>
      <c r="Q166" s="50">
        <v>3838.509</v>
      </c>
      <c r="R166" s="50">
        <v>3838.509</v>
      </c>
      <c r="S166" s="50">
        <v>3838.509</v>
      </c>
      <c r="T166" s="50">
        <v>3838.509</v>
      </c>
      <c r="U166" s="50">
        <v>3838.509</v>
      </c>
      <c r="V166" s="50">
        <v>3838.509</v>
      </c>
      <c r="W166" s="50">
        <v>3838.509</v>
      </c>
      <c r="X166" s="50">
        <v>3838.509</v>
      </c>
      <c r="Y166" s="50">
        <v>3838.509</v>
      </c>
      <c r="Z166" s="50">
        <v>3838.509</v>
      </c>
      <c r="AA166" s="50">
        <v>3838.509</v>
      </c>
      <c r="AB166" s="50">
        <v>3838.509</v>
      </c>
      <c r="AC166" s="51">
        <v>3838.509</v>
      </c>
    </row>
    <row r="167" spans="1:29" ht="29.25" customHeight="1" thickBot="1" x14ac:dyDescent="0.35">
      <c r="A167" s="191" t="s">
        <v>44</v>
      </c>
      <c r="B167" s="4" t="s">
        <v>41</v>
      </c>
      <c r="C167" s="192"/>
      <c r="D167" s="190"/>
      <c r="E167" s="156">
        <v>3.2958478127270666E-2</v>
      </c>
      <c r="F167" s="50">
        <v>2.6150247903134857E-2</v>
      </c>
      <c r="G167" s="50">
        <v>1.9200236962050841E-2</v>
      </c>
      <c r="H167" s="50">
        <v>3.8150225865847231E-5</v>
      </c>
      <c r="I167" s="50">
        <v>3.1637376498152348E-3</v>
      </c>
      <c r="J167" s="50">
        <v>0</v>
      </c>
      <c r="K167" s="50">
        <v>0.63379313366179291</v>
      </c>
      <c r="L167" s="50">
        <v>2.5090643803943289E-7</v>
      </c>
      <c r="M167" s="50">
        <v>1.9046245503343984E-2</v>
      </c>
      <c r="N167" s="50">
        <v>1.1191756203659002E-4</v>
      </c>
      <c r="O167" s="50">
        <v>5.5843595934646946E-2</v>
      </c>
      <c r="P167" s="50">
        <v>5.6870625508454323E-3</v>
      </c>
      <c r="Q167" s="50">
        <v>2.0330505127677985E-3</v>
      </c>
      <c r="R167" s="50">
        <v>7.1277359601784802E-4</v>
      </c>
      <c r="S167" s="50">
        <v>1.4578656518419509E-4</v>
      </c>
      <c r="T167" s="50">
        <v>0</v>
      </c>
      <c r="U167" s="50">
        <v>1.7570566434504247E-5</v>
      </c>
      <c r="V167" s="50">
        <v>0</v>
      </c>
      <c r="W167" s="50">
        <v>0</v>
      </c>
      <c r="X167" s="50">
        <v>0</v>
      </c>
      <c r="Y167" s="50">
        <v>4.2960205712899574E-2</v>
      </c>
      <c r="Z167" s="50">
        <v>3.1236499953881985E-2</v>
      </c>
      <c r="AA167" s="50">
        <v>0.12193206557325804</v>
      </c>
      <c r="AB167" s="50">
        <v>4.0070848199614097E-3</v>
      </c>
      <c r="AC167" s="51">
        <v>9.61905712353373E-4</v>
      </c>
    </row>
    <row r="168" spans="1:29" ht="29.25" customHeight="1" thickBot="1" x14ac:dyDescent="0.35">
      <c r="A168" s="191"/>
      <c r="B168" s="10" t="s">
        <v>42</v>
      </c>
      <c r="C168" s="192"/>
      <c r="D168" s="190"/>
      <c r="E168" s="26">
        <v>24672.571</v>
      </c>
      <c r="F168" s="27">
        <v>24672.571</v>
      </c>
      <c r="G168" s="27">
        <v>24672.571</v>
      </c>
      <c r="H168" s="27">
        <v>24672.571</v>
      </c>
      <c r="I168" s="27">
        <v>24672.571</v>
      </c>
      <c r="J168" s="27">
        <v>24672.571</v>
      </c>
      <c r="K168" s="27">
        <v>24672.571</v>
      </c>
      <c r="L168" s="27">
        <v>24672.571</v>
      </c>
      <c r="M168" s="27">
        <v>24672.571</v>
      </c>
      <c r="N168" s="27">
        <v>24672.571</v>
      </c>
      <c r="O168" s="27">
        <v>24672.571</v>
      </c>
      <c r="P168" s="27">
        <v>24672.571</v>
      </c>
      <c r="Q168" s="27">
        <v>24672.571</v>
      </c>
      <c r="R168" s="27">
        <v>24672.571</v>
      </c>
      <c r="S168" s="27">
        <v>24672.571</v>
      </c>
      <c r="T168" s="27">
        <v>24672.571</v>
      </c>
      <c r="U168" s="27">
        <v>24672.571</v>
      </c>
      <c r="V168" s="27">
        <v>24672.571</v>
      </c>
      <c r="W168" s="27">
        <v>24672.571</v>
      </c>
      <c r="X168" s="27">
        <v>24672.571</v>
      </c>
      <c r="Y168" s="27">
        <v>24672.571</v>
      </c>
      <c r="Z168" s="27">
        <v>24672.571</v>
      </c>
      <c r="AA168" s="27">
        <v>24672.571</v>
      </c>
      <c r="AB168" s="27">
        <v>24672.571</v>
      </c>
      <c r="AC168" s="28">
        <v>24672.571</v>
      </c>
    </row>
    <row r="169" spans="1:29" x14ac:dyDescent="0.3">
      <c r="A169" s="52"/>
    </row>
    <row r="170" spans="1:29" x14ac:dyDescent="0.3">
      <c r="A170" s="1" t="s">
        <v>45</v>
      </c>
    </row>
    <row r="171" spans="1:29" ht="15" thickBot="1" x14ac:dyDescent="0.35">
      <c r="A171" s="110" t="s">
        <v>146</v>
      </c>
    </row>
    <row r="172" spans="1:29" ht="15" thickBot="1" x14ac:dyDescent="0.35">
      <c r="B172" s="147" t="s">
        <v>1</v>
      </c>
      <c r="C172" s="148" t="s">
        <v>2</v>
      </c>
      <c r="D172" s="16">
        <v>1</v>
      </c>
      <c r="E172" s="16">
        <v>2</v>
      </c>
      <c r="F172" s="16">
        <v>3</v>
      </c>
      <c r="G172" s="16">
        <v>4</v>
      </c>
      <c r="H172" s="16">
        <v>5</v>
      </c>
      <c r="I172" s="16">
        <v>6</v>
      </c>
      <c r="J172" s="16">
        <v>7</v>
      </c>
      <c r="K172" s="16">
        <v>8</v>
      </c>
      <c r="L172" s="16">
        <v>9</v>
      </c>
      <c r="M172" s="16">
        <v>10</v>
      </c>
      <c r="N172" s="16">
        <v>11</v>
      </c>
      <c r="O172" s="16">
        <v>12</v>
      </c>
      <c r="P172" s="16">
        <v>13</v>
      </c>
      <c r="Q172" s="16">
        <v>14</v>
      </c>
      <c r="R172" s="16">
        <v>15</v>
      </c>
      <c r="S172" s="16">
        <v>16</v>
      </c>
      <c r="T172" s="16">
        <v>17</v>
      </c>
      <c r="U172" s="16">
        <v>18</v>
      </c>
      <c r="V172" s="17">
        <v>19</v>
      </c>
      <c r="W172" s="16">
        <v>20</v>
      </c>
      <c r="X172" s="16">
        <v>21</v>
      </c>
      <c r="Y172" s="16">
        <v>22</v>
      </c>
      <c r="Z172" s="16">
        <v>23</v>
      </c>
      <c r="AA172" s="16">
        <v>24</v>
      </c>
      <c r="AB172" s="18">
        <v>25</v>
      </c>
    </row>
    <row r="173" spans="1:29" ht="29.4" thickBot="1" x14ac:dyDescent="0.35">
      <c r="A173" s="157" t="s">
        <v>171</v>
      </c>
      <c r="B173" s="141" t="s">
        <v>172</v>
      </c>
      <c r="C173" s="132" t="s">
        <v>35</v>
      </c>
      <c r="D173" s="53">
        <v>1.2654192766791599</v>
      </c>
      <c r="E173" s="54">
        <v>1.037696534018955</v>
      </c>
      <c r="F173" s="54">
        <v>1.259827353454785</v>
      </c>
      <c r="G173" s="54">
        <v>3.1685086697347948</v>
      </c>
      <c r="H173" s="54">
        <v>0.59561421809319892</v>
      </c>
      <c r="I173" s="54">
        <v>0</v>
      </c>
      <c r="J173" s="54">
        <v>3.0299703619878602</v>
      </c>
      <c r="K173" s="54">
        <v>1.259827353454785</v>
      </c>
      <c r="L173" s="54">
        <v>2.386158336393045</v>
      </c>
      <c r="M173" s="54">
        <v>3.0299703619878602</v>
      </c>
      <c r="N173" s="54">
        <v>1.00483014814986</v>
      </c>
      <c r="O173" s="54">
        <v>3.0299703619878602</v>
      </c>
      <c r="P173" s="54">
        <v>3.0299703619878602</v>
      </c>
      <c r="Q173" s="54">
        <v>3.0299703619878602</v>
      </c>
      <c r="R173" s="54">
        <v>3.0299703619878602</v>
      </c>
      <c r="S173" s="54">
        <v>3.0299703619878602</v>
      </c>
      <c r="T173" s="54">
        <v>3.0299703619878602</v>
      </c>
      <c r="U173" s="54">
        <v>3.0299703619878602</v>
      </c>
      <c r="V173" s="54">
        <v>3.0299703619878602</v>
      </c>
      <c r="W173" s="54">
        <v>3.0299703619878602</v>
      </c>
      <c r="X173" s="54">
        <v>2.1771900549765899</v>
      </c>
      <c r="Y173" s="54">
        <v>1.4965723039020284</v>
      </c>
      <c r="Z173" s="54">
        <v>2.006089460357205</v>
      </c>
      <c r="AA173" s="54">
        <v>3.0299703619878602</v>
      </c>
      <c r="AB173" s="55">
        <v>3.0299703619878602</v>
      </c>
    </row>
    <row r="174" spans="1:29" ht="14.25" customHeight="1" x14ac:dyDescent="0.3"/>
    <row r="175" spans="1:29" ht="15" thickBot="1" x14ac:dyDescent="0.35">
      <c r="A175" s="110" t="s">
        <v>147</v>
      </c>
    </row>
    <row r="176" spans="1:29" ht="15" thickBot="1" x14ac:dyDescent="0.35">
      <c r="B176" s="147" t="s">
        <v>1</v>
      </c>
      <c r="C176" s="148" t="s">
        <v>2</v>
      </c>
      <c r="D176" s="16">
        <v>1</v>
      </c>
      <c r="E176" s="16">
        <v>2</v>
      </c>
      <c r="F176" s="16">
        <v>3</v>
      </c>
      <c r="G176" s="16">
        <v>4</v>
      </c>
      <c r="H176" s="16">
        <v>5</v>
      </c>
      <c r="I176" s="16">
        <v>6</v>
      </c>
      <c r="J176" s="16">
        <v>7</v>
      </c>
      <c r="K176" s="16">
        <v>8</v>
      </c>
      <c r="L176" s="16">
        <v>9</v>
      </c>
      <c r="M176" s="16">
        <v>10</v>
      </c>
      <c r="N176" s="16">
        <v>11</v>
      </c>
      <c r="O176" s="16">
        <v>12</v>
      </c>
      <c r="P176" s="16">
        <v>13</v>
      </c>
      <c r="Q176" s="16">
        <v>14</v>
      </c>
      <c r="R176" s="16">
        <v>15</v>
      </c>
      <c r="S176" s="16">
        <v>16</v>
      </c>
      <c r="T176" s="16">
        <v>17</v>
      </c>
      <c r="U176" s="16">
        <v>18</v>
      </c>
      <c r="V176" s="17">
        <v>19</v>
      </c>
      <c r="W176" s="16">
        <v>20</v>
      </c>
      <c r="X176" s="16">
        <v>21</v>
      </c>
      <c r="Y176" s="16">
        <v>22</v>
      </c>
      <c r="Z176" s="16">
        <v>23</v>
      </c>
      <c r="AA176" s="16">
        <v>24</v>
      </c>
      <c r="AB176" s="18">
        <v>25</v>
      </c>
    </row>
    <row r="177" spans="1:28" ht="29.4" thickBot="1" x14ac:dyDescent="0.35">
      <c r="A177" s="157" t="s">
        <v>171</v>
      </c>
      <c r="B177" s="141" t="s">
        <v>172</v>
      </c>
      <c r="C177" s="132" t="s">
        <v>35</v>
      </c>
      <c r="D177" s="53">
        <v>1.1992281145144037</v>
      </c>
      <c r="E177" s="54">
        <v>0.98341702300873268</v>
      </c>
      <c r="F177" s="54">
        <v>1.1939286918894583</v>
      </c>
      <c r="G177" s="54">
        <v>3.0027712931640447</v>
      </c>
      <c r="H177" s="54">
        <v>0.56445901283909317</v>
      </c>
      <c r="I177" s="54">
        <v>0</v>
      </c>
      <c r="J177" s="54">
        <v>2.8714796045915749</v>
      </c>
      <c r="K177" s="54">
        <v>1.1939286918894583</v>
      </c>
      <c r="L177" s="54">
        <v>2.2613439003355671</v>
      </c>
      <c r="M177" s="54">
        <v>2.8714796045915749</v>
      </c>
      <c r="N177" s="54">
        <v>0.95226980193894373</v>
      </c>
      <c r="O177" s="54">
        <v>2.8714796045915749</v>
      </c>
      <c r="P177" s="54">
        <v>2.8714796045915749</v>
      </c>
      <c r="Q177" s="54">
        <v>2.8714796045915749</v>
      </c>
      <c r="R177" s="54">
        <v>2.8714796045915749</v>
      </c>
      <c r="S177" s="54">
        <v>2.8714796045915749</v>
      </c>
      <c r="T177" s="54">
        <v>2.8714796045915749</v>
      </c>
      <c r="U177" s="54">
        <v>2.8714796045915749</v>
      </c>
      <c r="V177" s="54">
        <v>2.8714796045915749</v>
      </c>
      <c r="W177" s="54">
        <v>2.8714796045915749</v>
      </c>
      <c r="X177" s="54">
        <v>2.0633062674855003</v>
      </c>
      <c r="Y177" s="54">
        <v>1.4182900603133075</v>
      </c>
      <c r="Z177" s="54">
        <v>1.9011555501231425</v>
      </c>
      <c r="AA177" s="54">
        <v>2.8714796045915749</v>
      </c>
      <c r="AB177" s="55">
        <v>2.8714796045915749</v>
      </c>
    </row>
    <row r="178" spans="1:28" ht="14.25" customHeight="1" x14ac:dyDescent="0.3"/>
    <row r="179" spans="1:28" ht="15" thickBot="1" x14ac:dyDescent="0.35">
      <c r="A179" s="110" t="s">
        <v>148</v>
      </c>
    </row>
    <row r="180" spans="1:28" ht="15" thickBot="1" x14ac:dyDescent="0.35">
      <c r="B180" s="147" t="s">
        <v>1</v>
      </c>
      <c r="C180" s="148" t="s">
        <v>2</v>
      </c>
      <c r="D180" s="16">
        <v>1</v>
      </c>
      <c r="E180" s="16">
        <v>2</v>
      </c>
      <c r="F180" s="16">
        <v>3</v>
      </c>
      <c r="G180" s="16">
        <v>4</v>
      </c>
      <c r="H180" s="16">
        <v>5</v>
      </c>
      <c r="I180" s="16">
        <v>6</v>
      </c>
      <c r="J180" s="16">
        <v>7</v>
      </c>
      <c r="K180" s="16">
        <v>8</v>
      </c>
      <c r="L180" s="16">
        <v>9</v>
      </c>
      <c r="M180" s="16">
        <v>10</v>
      </c>
      <c r="N180" s="16">
        <v>11</v>
      </c>
      <c r="O180" s="16">
        <v>12</v>
      </c>
      <c r="P180" s="16">
        <v>13</v>
      </c>
      <c r="Q180" s="16">
        <v>14</v>
      </c>
      <c r="R180" s="16">
        <v>15</v>
      </c>
      <c r="S180" s="16">
        <v>16</v>
      </c>
      <c r="T180" s="16">
        <v>17</v>
      </c>
      <c r="U180" s="16">
        <v>18</v>
      </c>
      <c r="V180" s="17">
        <v>19</v>
      </c>
      <c r="W180" s="16">
        <v>20</v>
      </c>
      <c r="X180" s="16">
        <v>21</v>
      </c>
      <c r="Y180" s="16">
        <v>22</v>
      </c>
      <c r="Z180" s="16">
        <v>23</v>
      </c>
      <c r="AA180" s="16">
        <v>24</v>
      </c>
      <c r="AB180" s="18">
        <v>25</v>
      </c>
    </row>
    <row r="181" spans="1:28" ht="29.4" thickBot="1" x14ac:dyDescent="0.35">
      <c r="A181" s="157" t="s">
        <v>171</v>
      </c>
      <c r="B181" s="141" t="s">
        <v>172</v>
      </c>
      <c r="C181" s="132" t="s">
        <v>35</v>
      </c>
      <c r="D181" s="53">
        <v>1.3363832361157575</v>
      </c>
      <c r="E181" s="54">
        <v>1.095889937663691</v>
      </c>
      <c r="F181" s="54">
        <v>1.3304777211671386</v>
      </c>
      <c r="G181" s="54">
        <v>3.3461967489804603</v>
      </c>
      <c r="H181" s="54">
        <v>0.62901590873564706</v>
      </c>
      <c r="I181" s="54">
        <v>0</v>
      </c>
      <c r="J181" s="54">
        <v>3.1998892954392901</v>
      </c>
      <c r="K181" s="54">
        <v>1.3304777211671386</v>
      </c>
      <c r="L181" s="54">
        <v>2.5199726748607501</v>
      </c>
      <c r="M181" s="54">
        <v>3.1998892954392901</v>
      </c>
      <c r="N181" s="54">
        <v>1.0611804244480891</v>
      </c>
      <c r="O181" s="54">
        <v>3.1998892954392901</v>
      </c>
      <c r="P181" s="54">
        <v>3.1998892954392901</v>
      </c>
      <c r="Q181" s="54">
        <v>3.1998892954392901</v>
      </c>
      <c r="R181" s="54">
        <v>3.1998892954392901</v>
      </c>
      <c r="S181" s="54">
        <v>3.1998892954392901</v>
      </c>
      <c r="T181" s="54">
        <v>3.1998892954392901</v>
      </c>
      <c r="U181" s="54">
        <v>3.1998892954392901</v>
      </c>
      <c r="V181" s="54">
        <v>3.1998892954392901</v>
      </c>
      <c r="W181" s="54">
        <v>3.1998892954392901</v>
      </c>
      <c r="X181" s="54">
        <v>2.2992855766700551</v>
      </c>
      <c r="Y181" s="54">
        <v>1.58049918744591</v>
      </c>
      <c r="Z181" s="54">
        <v>2.1185897626005747</v>
      </c>
      <c r="AA181" s="54">
        <v>3.1998892954392901</v>
      </c>
      <c r="AB181" s="55">
        <v>3.1998892954392901</v>
      </c>
    </row>
    <row r="182" spans="1:28" ht="14.25" customHeight="1" x14ac:dyDescent="0.3"/>
    <row r="183" spans="1:28" x14ac:dyDescent="0.3">
      <c r="A183" s="1" t="s">
        <v>46</v>
      </c>
    </row>
    <row r="184" spans="1:28" ht="15" thickBot="1" x14ac:dyDescent="0.35">
      <c r="A184" s="110" t="s">
        <v>130</v>
      </c>
    </row>
    <row r="185" spans="1:28" ht="15" thickBot="1" x14ac:dyDescent="0.35">
      <c r="A185" s="36"/>
      <c r="B185" s="158" t="s">
        <v>1</v>
      </c>
      <c r="C185" s="113" t="s">
        <v>2</v>
      </c>
      <c r="D185" s="37">
        <v>3</v>
      </c>
      <c r="E185" s="38">
        <v>5</v>
      </c>
      <c r="F185" s="38">
        <v>7</v>
      </c>
      <c r="G185" s="38">
        <v>10</v>
      </c>
      <c r="H185" s="38">
        <v>12</v>
      </c>
      <c r="I185" s="38">
        <v>13</v>
      </c>
      <c r="J185" s="38">
        <v>14</v>
      </c>
      <c r="K185" s="38">
        <v>15</v>
      </c>
      <c r="L185" s="38">
        <v>17</v>
      </c>
      <c r="M185" s="39">
        <v>21</v>
      </c>
    </row>
    <row r="186" spans="1:28" ht="29.4" customHeight="1" x14ac:dyDescent="0.3">
      <c r="A186" s="144" t="s">
        <v>47</v>
      </c>
      <c r="B186" s="195" t="s">
        <v>177</v>
      </c>
      <c r="C186" s="43" t="s">
        <v>35</v>
      </c>
      <c r="D186" s="41">
        <v>10.625</v>
      </c>
      <c r="E186" s="42">
        <v>17.321999999999999</v>
      </c>
      <c r="F186" s="42">
        <v>27.97</v>
      </c>
      <c r="G186" s="42">
        <v>1.5717000000000001</v>
      </c>
      <c r="H186" s="42">
        <v>5.8776000000000002</v>
      </c>
      <c r="I186" s="42">
        <v>3.2442000000000002</v>
      </c>
      <c r="J186" s="42">
        <v>3.1966000000000001</v>
      </c>
      <c r="K186" s="42">
        <v>1.3462000000000001</v>
      </c>
      <c r="L186" s="42">
        <v>0.58809999999999996</v>
      </c>
      <c r="M186" s="43">
        <v>11.135</v>
      </c>
    </row>
    <row r="187" spans="1:28" ht="29.4" customHeight="1" x14ac:dyDescent="0.3">
      <c r="A187" s="145" t="s">
        <v>48</v>
      </c>
      <c r="B187" s="193"/>
      <c r="C187" s="46" t="s">
        <v>35</v>
      </c>
      <c r="D187" s="44">
        <v>-0.36699999999999999</v>
      </c>
      <c r="E187" s="45">
        <v>-0.36699999999999999</v>
      </c>
      <c r="F187" s="45">
        <v>-0.36699999999999999</v>
      </c>
      <c r="G187" s="45">
        <v>-0.36699999999999999</v>
      </c>
      <c r="H187" s="45">
        <v>-0.36699999999999999</v>
      </c>
      <c r="I187" s="45">
        <v>-0.36699999999999999</v>
      </c>
      <c r="J187" s="45">
        <v>-0.36699999999999999</v>
      </c>
      <c r="K187" s="45">
        <v>-0.36699999999999999</v>
      </c>
      <c r="L187" s="45">
        <v>-0.36699999999999999</v>
      </c>
      <c r="M187" s="46">
        <v>-0.36699999999999999</v>
      </c>
    </row>
    <row r="188" spans="1:28" ht="29.4" customHeight="1" thickBot="1" x14ac:dyDescent="0.35">
      <c r="A188" s="146" t="s">
        <v>49</v>
      </c>
      <c r="B188" s="194"/>
      <c r="C188" s="49" t="s">
        <v>35</v>
      </c>
      <c r="D188" s="47">
        <v>1.7954937957382899E-3</v>
      </c>
      <c r="E188" s="48">
        <v>2.1297274394589398E-3</v>
      </c>
      <c r="F188" s="48">
        <v>2.4901277806579402E-3</v>
      </c>
      <c r="G188" s="48">
        <v>3.58705802813719E-4</v>
      </c>
      <c r="H188" s="48">
        <v>1.3245682776211699E-3</v>
      </c>
      <c r="I188" s="48">
        <v>8.7443987914315202E-4</v>
      </c>
      <c r="J188" s="48">
        <v>8.8339894977340595E-4</v>
      </c>
      <c r="K188" s="48">
        <v>2.2456046783581E-4</v>
      </c>
      <c r="L188" s="48">
        <v>-4.8194337900331298E-4</v>
      </c>
      <c r="M188" s="49">
        <v>1.8434141156952199E-3</v>
      </c>
    </row>
    <row r="189" spans="1:28" ht="14.25" customHeight="1" x14ac:dyDescent="0.3"/>
    <row r="190" spans="1:28" x14ac:dyDescent="0.3">
      <c r="A190" s="1" t="s">
        <v>50</v>
      </c>
    </row>
    <row r="191" spans="1:28" ht="15" thickBot="1" x14ac:dyDescent="0.35">
      <c r="A191" s="110" t="s">
        <v>130</v>
      </c>
    </row>
    <row r="192" spans="1:28" ht="15" thickBot="1" x14ac:dyDescent="0.35">
      <c r="B192" s="147" t="s">
        <v>1</v>
      </c>
      <c r="C192" s="18" t="s">
        <v>2</v>
      </c>
      <c r="D192" s="65" t="s">
        <v>51</v>
      </c>
    </row>
    <row r="193" spans="1:28" ht="25.05" customHeight="1" x14ac:dyDescent="0.3">
      <c r="A193" s="118" t="s">
        <v>52</v>
      </c>
      <c r="B193" s="193" t="s">
        <v>53</v>
      </c>
      <c r="C193" s="60" t="s">
        <v>6</v>
      </c>
      <c r="D193" s="159">
        <v>2E-3</v>
      </c>
    </row>
    <row r="194" spans="1:28" ht="72.599999999999994" customHeight="1" x14ac:dyDescent="0.3">
      <c r="A194" s="85" t="s">
        <v>52</v>
      </c>
      <c r="B194" s="193"/>
      <c r="C194" s="46" t="s">
        <v>6</v>
      </c>
      <c r="D194" s="57">
        <v>3.0000000000000001E-3</v>
      </c>
    </row>
    <row r="195" spans="1:28" ht="72.599999999999994" customHeight="1" x14ac:dyDescent="0.3">
      <c r="A195" s="85" t="s">
        <v>52</v>
      </c>
      <c r="B195" s="193"/>
      <c r="C195" s="46" t="s">
        <v>6</v>
      </c>
      <c r="D195" s="57">
        <v>4.0000000000000001E-3</v>
      </c>
    </row>
    <row r="196" spans="1:28" ht="15" thickBot="1" x14ac:dyDescent="0.35">
      <c r="A196" s="86" t="s">
        <v>54</v>
      </c>
      <c r="B196" s="194"/>
      <c r="C196" s="49" t="s">
        <v>6</v>
      </c>
      <c r="D196" s="58">
        <v>7.9577999999999998</v>
      </c>
    </row>
    <row r="197" spans="1:28" ht="14.25" customHeight="1" x14ac:dyDescent="0.3"/>
    <row r="198" spans="1:28" x14ac:dyDescent="0.3">
      <c r="A198" s="59" t="s">
        <v>55</v>
      </c>
    </row>
    <row r="199" spans="1:28" ht="15" thickBot="1" x14ac:dyDescent="0.35">
      <c r="A199" s="110" t="s">
        <v>130</v>
      </c>
    </row>
    <row r="200" spans="1:28" ht="15" thickBot="1" x14ac:dyDescent="0.35">
      <c r="A200" s="160"/>
      <c r="B200" s="147" t="s">
        <v>1</v>
      </c>
      <c r="C200" s="148" t="s">
        <v>2</v>
      </c>
      <c r="D200" s="16">
        <v>1</v>
      </c>
      <c r="E200" s="16">
        <v>2</v>
      </c>
      <c r="F200" s="16">
        <v>3</v>
      </c>
      <c r="G200" s="16">
        <v>4</v>
      </c>
      <c r="H200" s="16">
        <v>5</v>
      </c>
      <c r="I200" s="16">
        <v>6</v>
      </c>
      <c r="J200" s="16">
        <v>7</v>
      </c>
      <c r="K200" s="16">
        <v>8</v>
      </c>
      <c r="L200" s="16">
        <v>9</v>
      </c>
      <c r="M200" s="16">
        <v>10</v>
      </c>
      <c r="N200" s="16">
        <v>11</v>
      </c>
      <c r="O200" s="16">
        <v>12</v>
      </c>
      <c r="P200" s="16">
        <v>13</v>
      </c>
      <c r="Q200" s="16">
        <v>14</v>
      </c>
      <c r="R200" s="16">
        <v>15</v>
      </c>
      <c r="S200" s="16">
        <v>16</v>
      </c>
      <c r="T200" s="16">
        <v>17</v>
      </c>
      <c r="U200" s="16">
        <v>18</v>
      </c>
      <c r="V200" s="17">
        <v>19</v>
      </c>
      <c r="W200" s="16">
        <v>20</v>
      </c>
      <c r="X200" s="16">
        <v>21</v>
      </c>
      <c r="Y200" s="16">
        <v>22</v>
      </c>
      <c r="Z200" s="16">
        <v>23</v>
      </c>
      <c r="AA200" s="16">
        <v>24</v>
      </c>
      <c r="AB200" s="18">
        <v>25</v>
      </c>
    </row>
    <row r="201" spans="1:28" x14ac:dyDescent="0.3">
      <c r="A201" s="118" t="s">
        <v>56</v>
      </c>
      <c r="B201" s="195" t="s">
        <v>173</v>
      </c>
      <c r="C201" s="119" t="s">
        <v>35</v>
      </c>
      <c r="D201" s="44">
        <v>9.3025266458601E-2</v>
      </c>
      <c r="E201" s="45">
        <v>1.6018444605467402E-2</v>
      </c>
      <c r="F201" s="45">
        <v>9.3025266458601E-2</v>
      </c>
      <c r="G201" s="45">
        <v>1.6018444605467402E-2</v>
      </c>
      <c r="H201" s="45">
        <v>1.6018444605467402E-2</v>
      </c>
      <c r="I201" s="45">
        <v>0</v>
      </c>
      <c r="J201" s="45">
        <v>1.6018444605467402E-2</v>
      </c>
      <c r="K201" s="45">
        <v>9.3025266458601E-2</v>
      </c>
      <c r="L201" s="45">
        <v>1.6018444605467402E-2</v>
      </c>
      <c r="M201" s="45">
        <v>1.6018444605467402E-2</v>
      </c>
      <c r="N201" s="45">
        <v>1.6018444605467402E-2</v>
      </c>
      <c r="O201" s="45">
        <v>9.3025266458601E-2</v>
      </c>
      <c r="P201" s="45">
        <v>9.3025266458601E-2</v>
      </c>
      <c r="Q201" s="45">
        <v>9.3025266458601E-2</v>
      </c>
      <c r="R201" s="45">
        <v>9.3025266458601E-2</v>
      </c>
      <c r="S201" s="45">
        <v>9.3025266458601E-2</v>
      </c>
      <c r="T201" s="45">
        <v>9.3025266458601E-2</v>
      </c>
      <c r="U201" s="45">
        <v>9.3025266458601E-2</v>
      </c>
      <c r="V201" s="45">
        <v>9.3025266458601E-2</v>
      </c>
      <c r="W201" s="45">
        <v>9.3025266458601E-2</v>
      </c>
      <c r="X201" s="45">
        <v>9.3025266458601E-2</v>
      </c>
      <c r="Y201" s="45">
        <v>1.6018444605467402E-2</v>
      </c>
      <c r="Z201" s="45">
        <v>1.6018444605467402E-2</v>
      </c>
      <c r="AA201" s="45">
        <v>9.3025266458601E-2</v>
      </c>
      <c r="AB201" s="46">
        <v>9.3025266458601E-2</v>
      </c>
    </row>
    <row r="202" spans="1:28" ht="15" thickBot="1" x14ac:dyDescent="0.35">
      <c r="A202" s="86" t="s">
        <v>57</v>
      </c>
      <c r="B202" s="194"/>
      <c r="C202" s="132" t="s">
        <v>35</v>
      </c>
      <c r="D202" s="47">
        <v>0.13224493985562299</v>
      </c>
      <c r="E202" s="48">
        <v>2.2771858916130001E-2</v>
      </c>
      <c r="F202" s="48">
        <v>0.13224493965654699</v>
      </c>
      <c r="G202" s="48">
        <v>2.2771858916130001E-2</v>
      </c>
      <c r="H202" s="48">
        <v>2.2771858916130001E-2</v>
      </c>
      <c r="I202" s="48">
        <v>0</v>
      </c>
      <c r="J202" s="48">
        <v>2.2771858916130001E-2</v>
      </c>
      <c r="K202" s="48">
        <v>0.13224493965654699</v>
      </c>
      <c r="L202" s="48">
        <v>2.2771858916130001E-2</v>
      </c>
      <c r="M202" s="48">
        <v>2.2771858916130001E-2</v>
      </c>
      <c r="N202" s="48">
        <v>2.2771858916130001E-2</v>
      </c>
      <c r="O202" s="48">
        <v>0.13224493965654699</v>
      </c>
      <c r="P202" s="48">
        <v>0.13224493965654699</v>
      </c>
      <c r="Q202" s="48">
        <v>0.13224493965654699</v>
      </c>
      <c r="R202" s="48">
        <v>0.13224493965654699</v>
      </c>
      <c r="S202" s="48">
        <v>0.13224493965654699</v>
      </c>
      <c r="T202" s="48">
        <v>0.13224493965654699</v>
      </c>
      <c r="U202" s="48">
        <v>0.13224493965654699</v>
      </c>
      <c r="V202" s="48">
        <v>0.13224493965654699</v>
      </c>
      <c r="W202" s="48">
        <v>0.13224493965654699</v>
      </c>
      <c r="X202" s="48">
        <v>0.13224493985562299</v>
      </c>
      <c r="Y202" s="48">
        <v>2.2771858916130001E-2</v>
      </c>
      <c r="Z202" s="48">
        <v>2.2771858916130001E-2</v>
      </c>
      <c r="AA202" s="48">
        <v>0.13224493965654699</v>
      </c>
      <c r="AB202" s="49">
        <v>0.13224493965654699</v>
      </c>
    </row>
    <row r="203" spans="1:28" ht="14.25" customHeight="1" x14ac:dyDescent="0.3"/>
    <row r="204" spans="1:28" x14ac:dyDescent="0.3">
      <c r="A204" s="1" t="s">
        <v>58</v>
      </c>
    </row>
    <row r="205" spans="1:28" ht="15" thickBot="1" x14ac:dyDescent="0.35">
      <c r="A205" s="110" t="s">
        <v>130</v>
      </c>
    </row>
    <row r="206" spans="1:28" ht="15" thickBot="1" x14ac:dyDescent="0.35">
      <c r="A206" s="112"/>
      <c r="B206" s="147" t="s">
        <v>1</v>
      </c>
      <c r="C206" s="30" t="s">
        <v>2</v>
      </c>
      <c r="D206" s="16">
        <v>1</v>
      </c>
      <c r="E206" s="16">
        <v>2</v>
      </c>
      <c r="F206" s="16">
        <v>3</v>
      </c>
      <c r="G206" s="16">
        <v>4</v>
      </c>
      <c r="H206" s="16">
        <v>5</v>
      </c>
      <c r="I206" s="16">
        <v>6</v>
      </c>
      <c r="J206" s="16">
        <v>7</v>
      </c>
      <c r="K206" s="16">
        <v>8</v>
      </c>
      <c r="L206" s="16">
        <v>9</v>
      </c>
      <c r="M206" s="16">
        <v>10</v>
      </c>
      <c r="N206" s="16">
        <v>11</v>
      </c>
      <c r="O206" s="16">
        <v>12</v>
      </c>
      <c r="P206" s="16">
        <v>13</v>
      </c>
      <c r="Q206" s="16">
        <v>14</v>
      </c>
      <c r="R206" s="16">
        <v>15</v>
      </c>
      <c r="S206" s="16">
        <v>16</v>
      </c>
      <c r="T206" s="16">
        <v>17</v>
      </c>
      <c r="U206" s="16">
        <v>18</v>
      </c>
      <c r="V206" s="17">
        <v>19</v>
      </c>
      <c r="W206" s="16">
        <v>20</v>
      </c>
      <c r="X206" s="16">
        <v>21</v>
      </c>
      <c r="Y206" s="16">
        <v>22</v>
      </c>
      <c r="Z206" s="16">
        <v>23</v>
      </c>
      <c r="AA206" s="16">
        <v>24</v>
      </c>
      <c r="AB206" s="18">
        <v>25</v>
      </c>
    </row>
    <row r="207" spans="1:28" ht="47.4" customHeight="1" thickBot="1" x14ac:dyDescent="0.35">
      <c r="A207" s="124" t="s">
        <v>59</v>
      </c>
      <c r="B207" s="141" t="s">
        <v>144</v>
      </c>
      <c r="C207" s="63" t="s">
        <v>60</v>
      </c>
      <c r="D207" s="161">
        <v>0</v>
      </c>
      <c r="E207" s="62">
        <v>0</v>
      </c>
      <c r="F207" s="62">
        <v>0</v>
      </c>
      <c r="G207" s="62">
        <v>0</v>
      </c>
      <c r="H207" s="62">
        <v>166000</v>
      </c>
      <c r="I207" s="62">
        <v>0</v>
      </c>
      <c r="J207" s="62">
        <v>0</v>
      </c>
      <c r="K207" s="62">
        <v>0</v>
      </c>
      <c r="L207" s="62">
        <v>0</v>
      </c>
      <c r="M207" s="62">
        <v>0</v>
      </c>
      <c r="N207" s="62">
        <v>0</v>
      </c>
      <c r="O207" s="62">
        <v>0</v>
      </c>
      <c r="P207" s="62">
        <v>0</v>
      </c>
      <c r="Q207" s="62">
        <v>0</v>
      </c>
      <c r="R207" s="62">
        <v>0</v>
      </c>
      <c r="S207" s="62">
        <v>0</v>
      </c>
      <c r="T207" s="62">
        <v>0</v>
      </c>
      <c r="U207" s="62">
        <v>0</v>
      </c>
      <c r="V207" s="62">
        <v>0</v>
      </c>
      <c r="W207" s="62">
        <v>0</v>
      </c>
      <c r="X207" s="62">
        <v>0</v>
      </c>
      <c r="Y207" s="62">
        <v>0</v>
      </c>
      <c r="Z207" s="62">
        <v>0</v>
      </c>
      <c r="AA207" s="62">
        <v>0</v>
      </c>
      <c r="AB207" s="63">
        <v>0</v>
      </c>
    </row>
    <row r="208" spans="1:28" ht="14.25" customHeight="1" x14ac:dyDescent="0.3"/>
    <row r="209" spans="1:28" x14ac:dyDescent="0.3">
      <c r="A209" s="59" t="s">
        <v>61</v>
      </c>
    </row>
    <row r="210" spans="1:28" ht="15" thickBot="1" x14ac:dyDescent="0.35">
      <c r="A210" s="110" t="s">
        <v>130</v>
      </c>
    </row>
    <row r="211" spans="1:28" ht="15" thickBot="1" x14ac:dyDescent="0.35">
      <c r="A211" s="112"/>
      <c r="B211" s="147" t="s">
        <v>1</v>
      </c>
      <c r="C211" s="148" t="s">
        <v>2</v>
      </c>
      <c r="D211" s="16">
        <v>1</v>
      </c>
      <c r="E211" s="16">
        <v>2</v>
      </c>
      <c r="F211" s="16">
        <v>3</v>
      </c>
      <c r="G211" s="16">
        <v>4</v>
      </c>
      <c r="H211" s="16">
        <v>5</v>
      </c>
      <c r="I211" s="16">
        <v>6</v>
      </c>
      <c r="J211" s="16">
        <v>7</v>
      </c>
      <c r="K211" s="16">
        <v>8</v>
      </c>
      <c r="L211" s="16">
        <v>9</v>
      </c>
      <c r="M211" s="16">
        <v>10</v>
      </c>
      <c r="N211" s="16">
        <v>11</v>
      </c>
      <c r="O211" s="16">
        <v>12</v>
      </c>
      <c r="P211" s="16">
        <v>13</v>
      </c>
      <c r="Q211" s="16">
        <v>14</v>
      </c>
      <c r="R211" s="16">
        <v>15</v>
      </c>
      <c r="S211" s="16">
        <v>16</v>
      </c>
      <c r="T211" s="16">
        <v>17</v>
      </c>
      <c r="U211" s="16">
        <v>18</v>
      </c>
      <c r="V211" s="17">
        <v>19</v>
      </c>
      <c r="W211" s="16">
        <v>20</v>
      </c>
      <c r="X211" s="16">
        <v>21</v>
      </c>
      <c r="Y211" s="16">
        <v>22</v>
      </c>
      <c r="Z211" s="16">
        <v>23</v>
      </c>
      <c r="AA211" s="16">
        <v>24</v>
      </c>
      <c r="AB211" s="18">
        <v>25</v>
      </c>
    </row>
    <row r="212" spans="1:28" ht="74.400000000000006" customHeight="1" thickBot="1" x14ac:dyDescent="0.35">
      <c r="A212" s="124" t="s">
        <v>174</v>
      </c>
      <c r="B212" s="141" t="s">
        <v>175</v>
      </c>
      <c r="C212" s="132" t="s">
        <v>35</v>
      </c>
      <c r="D212" s="62">
        <v>0.27</v>
      </c>
      <c r="E212" s="62">
        <v>0</v>
      </c>
      <c r="F212" s="62">
        <v>0</v>
      </c>
      <c r="G212" s="62">
        <v>0</v>
      </c>
      <c r="H212" s="62">
        <v>0</v>
      </c>
      <c r="I212" s="62">
        <v>0</v>
      </c>
      <c r="J212" s="62">
        <v>0</v>
      </c>
      <c r="K212" s="62">
        <v>0</v>
      </c>
      <c r="L212" s="62">
        <v>0</v>
      </c>
      <c r="M212" s="62">
        <v>0</v>
      </c>
      <c r="N212" s="62">
        <v>0</v>
      </c>
      <c r="O212" s="62">
        <v>0</v>
      </c>
      <c r="P212" s="62">
        <v>0</v>
      </c>
      <c r="Q212" s="62">
        <v>0</v>
      </c>
      <c r="R212" s="62">
        <v>0</v>
      </c>
      <c r="S212" s="62">
        <v>0</v>
      </c>
      <c r="T212" s="62">
        <v>0</v>
      </c>
      <c r="U212" s="62">
        <v>0</v>
      </c>
      <c r="V212" s="62">
        <v>0</v>
      </c>
      <c r="W212" s="62">
        <v>0</v>
      </c>
      <c r="X212" s="62">
        <v>0</v>
      </c>
      <c r="Y212" s="62">
        <v>0</v>
      </c>
      <c r="Z212" s="62">
        <v>0</v>
      </c>
      <c r="AA212" s="62">
        <v>0</v>
      </c>
      <c r="AB212" s="63">
        <v>0</v>
      </c>
    </row>
    <row r="213" spans="1:28" ht="14.25" customHeight="1" x14ac:dyDescent="0.3"/>
    <row r="214" spans="1:28" x14ac:dyDescent="0.3">
      <c r="A214" s="59" t="s">
        <v>62</v>
      </c>
    </row>
    <row r="215" spans="1:28" ht="15" thickBot="1" x14ac:dyDescent="0.35">
      <c r="A215" s="110" t="s">
        <v>130</v>
      </c>
    </row>
    <row r="216" spans="1:28" ht="15" thickBot="1" x14ac:dyDescent="0.35">
      <c r="B216" s="136" t="s">
        <v>1</v>
      </c>
      <c r="C216" s="148" t="s">
        <v>2</v>
      </c>
      <c r="D216" s="3">
        <v>1</v>
      </c>
    </row>
    <row r="217" spans="1:28" x14ac:dyDescent="0.3">
      <c r="A217" s="162" t="s">
        <v>63</v>
      </c>
      <c r="B217" s="193" t="s">
        <v>176</v>
      </c>
      <c r="C217" s="163" t="s">
        <v>35</v>
      </c>
      <c r="D217" s="57">
        <f>1/(1-OUTPUT_LOSSES_FACTOR)</f>
        <v>1.3698630136986301</v>
      </c>
    </row>
    <row r="218" spans="1:28" x14ac:dyDescent="0.3">
      <c r="A218" s="164" t="s">
        <v>64</v>
      </c>
      <c r="B218" s="193"/>
      <c r="C218" s="121" t="s">
        <v>35</v>
      </c>
      <c r="D218" s="57">
        <v>5.4712999999999998E-2</v>
      </c>
    </row>
    <row r="219" spans="1:28" x14ac:dyDescent="0.3">
      <c r="A219" s="164" t="s">
        <v>65</v>
      </c>
      <c r="B219" s="193"/>
      <c r="C219" s="121" t="s">
        <v>35</v>
      </c>
      <c r="D219" s="57">
        <v>0.153196</v>
      </c>
    </row>
    <row r="220" spans="1:28" ht="15" thickBot="1" x14ac:dyDescent="0.35">
      <c r="A220" s="165" t="s">
        <v>66</v>
      </c>
      <c r="B220" s="194"/>
      <c r="C220" s="123" t="s">
        <v>35</v>
      </c>
      <c r="D220" s="58">
        <v>1.107237</v>
      </c>
    </row>
    <row r="221" spans="1:28" ht="14.25" customHeight="1" x14ac:dyDescent="0.3"/>
    <row r="222" spans="1:28" ht="14.25" customHeight="1" x14ac:dyDescent="0.3"/>
    <row r="223" spans="1:28" ht="14.25" customHeight="1" x14ac:dyDescent="0.3"/>
    <row r="224" spans="1:28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</sheetData>
  <mergeCells count="23">
    <mergeCell ref="B91:B93"/>
    <mergeCell ref="B97:B99"/>
    <mergeCell ref="B103:B105"/>
    <mergeCell ref="B186:B188"/>
    <mergeCell ref="B193:B196"/>
    <mergeCell ref="B217:B220"/>
    <mergeCell ref="B110:B113"/>
    <mergeCell ref="A145:A146"/>
    <mergeCell ref="C145:C150"/>
    <mergeCell ref="A163:A164"/>
    <mergeCell ref="C163:C168"/>
    <mergeCell ref="B201:B202"/>
    <mergeCell ref="D163:D168"/>
    <mergeCell ref="A165:A166"/>
    <mergeCell ref="A167:A168"/>
    <mergeCell ref="D145:D150"/>
    <mergeCell ref="A147:A148"/>
    <mergeCell ref="A149:A150"/>
    <mergeCell ref="A154:A155"/>
    <mergeCell ref="C154:C159"/>
    <mergeCell ref="D154:D159"/>
    <mergeCell ref="A156:A157"/>
    <mergeCell ref="A158:A159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8963-249D-4CFE-93DF-C03A38F0BDDD}">
  <dimension ref="A1:AB43"/>
  <sheetViews>
    <sheetView workbookViewId="0"/>
  </sheetViews>
  <sheetFormatPr baseColWidth="10" defaultRowHeight="14.4" x14ac:dyDescent="0.3"/>
  <cols>
    <col min="1" max="1" width="20.33203125" customWidth="1"/>
    <col min="2" max="2" width="26.5546875" bestFit="1" customWidth="1"/>
    <col min="3" max="3" width="13.44140625" customWidth="1"/>
  </cols>
  <sheetData>
    <row r="1" spans="1:28" ht="25.8" x14ac:dyDescent="0.5">
      <c r="A1" s="166" t="s">
        <v>182</v>
      </c>
    </row>
    <row r="3" spans="1:28" x14ac:dyDescent="0.3">
      <c r="A3" s="1" t="s">
        <v>183</v>
      </c>
    </row>
    <row r="4" spans="1:28" ht="15" thickBot="1" x14ac:dyDescent="0.35">
      <c r="A4" s="110" t="s">
        <v>146</v>
      </c>
    </row>
    <row r="5" spans="1:28" ht="15" thickBot="1" x14ac:dyDescent="0.35">
      <c r="B5" s="136" t="s">
        <v>1</v>
      </c>
      <c r="C5" s="148" t="s">
        <v>2</v>
      </c>
      <c r="D5" s="17">
        <v>1</v>
      </c>
      <c r="E5" s="16">
        <v>2</v>
      </c>
      <c r="F5" s="16">
        <v>3</v>
      </c>
      <c r="G5" s="16">
        <v>4</v>
      </c>
      <c r="H5" s="16">
        <v>5</v>
      </c>
      <c r="I5" s="16">
        <v>6</v>
      </c>
      <c r="J5" s="16">
        <v>7</v>
      </c>
      <c r="K5" s="16">
        <v>8</v>
      </c>
      <c r="L5" s="16">
        <v>9</v>
      </c>
      <c r="M5" s="16">
        <v>10</v>
      </c>
      <c r="N5" s="16">
        <v>11</v>
      </c>
      <c r="O5" s="16">
        <v>12</v>
      </c>
      <c r="P5" s="16">
        <v>13</v>
      </c>
      <c r="Q5" s="16">
        <v>14</v>
      </c>
      <c r="R5" s="16">
        <v>15</v>
      </c>
      <c r="S5" s="16">
        <v>16</v>
      </c>
      <c r="T5" s="16">
        <v>17</v>
      </c>
      <c r="U5" s="16">
        <v>18</v>
      </c>
      <c r="V5" s="16">
        <v>19</v>
      </c>
      <c r="W5" s="16">
        <v>20</v>
      </c>
      <c r="X5" s="16">
        <v>21</v>
      </c>
      <c r="Y5" s="16">
        <v>22</v>
      </c>
      <c r="Z5" s="16">
        <v>23</v>
      </c>
      <c r="AA5" s="16">
        <v>24</v>
      </c>
      <c r="AB5" s="18">
        <v>25</v>
      </c>
    </row>
    <row r="6" spans="1:28" ht="15" thickBot="1" x14ac:dyDescent="0.35">
      <c r="A6" s="115" t="s">
        <v>184</v>
      </c>
      <c r="B6" s="170" t="s">
        <v>185</v>
      </c>
      <c r="C6" s="171" t="s">
        <v>186</v>
      </c>
      <c r="D6" s="66">
        <v>2.1169960441371798E-2</v>
      </c>
      <c r="E6" s="67">
        <v>4.94956828592788E-3</v>
      </c>
      <c r="F6" s="67">
        <v>1.74618240848162E-3</v>
      </c>
      <c r="G6" s="67">
        <v>2.3966667478470201E-2</v>
      </c>
      <c r="H6" s="67">
        <v>3.82553459674894E-3</v>
      </c>
      <c r="I6" s="67">
        <v>0</v>
      </c>
      <c r="J6" s="67">
        <v>3.46700009332334E-3</v>
      </c>
      <c r="K6" s="67">
        <v>1.66805756001851E-3</v>
      </c>
      <c r="L6" s="67">
        <v>2.16495879737879E-3</v>
      </c>
      <c r="M6" s="67">
        <v>4.3961654894879004E-3</v>
      </c>
      <c r="N6" s="67">
        <v>2.7716893552378399E-3</v>
      </c>
      <c r="O6" s="67">
        <v>1.5738982645603001E-3</v>
      </c>
      <c r="P6" s="67">
        <v>1.20662071842966E-3</v>
      </c>
      <c r="Q6" s="67">
        <v>1.1538536789419099E-3</v>
      </c>
      <c r="R6" s="67">
        <v>4.0790968624979202E-3</v>
      </c>
      <c r="S6" s="67">
        <v>3.6722199705207198E-3</v>
      </c>
      <c r="T6" s="67">
        <v>8.9323685943121303E-3</v>
      </c>
      <c r="U6" s="67">
        <v>0.31875997243629101</v>
      </c>
      <c r="V6" s="67">
        <v>1.84473636587664E-2</v>
      </c>
      <c r="W6" s="67">
        <v>3.1143606871073602E-3</v>
      </c>
      <c r="X6" s="67">
        <v>4.2380854990415303E-3</v>
      </c>
      <c r="Y6" s="67">
        <v>9.0181624339655108E-3</v>
      </c>
      <c r="Z6" s="67">
        <v>3.8655658679828502E-3</v>
      </c>
      <c r="AA6" s="67">
        <v>6.4933175167639703E-3</v>
      </c>
      <c r="AB6" s="68">
        <v>2.9727853268917801E-3</v>
      </c>
    </row>
    <row r="7" spans="1:28" ht="14.25" customHeight="1" x14ac:dyDescent="0.3"/>
    <row r="8" spans="1:28" ht="14.25" customHeight="1" thickBot="1" x14ac:dyDescent="0.35">
      <c r="A8" s="76" t="s">
        <v>147</v>
      </c>
    </row>
    <row r="9" spans="1:28" ht="15" thickBot="1" x14ac:dyDescent="0.35">
      <c r="B9" s="136" t="s">
        <v>1</v>
      </c>
      <c r="C9" s="148" t="s">
        <v>2</v>
      </c>
      <c r="D9" s="17">
        <v>1</v>
      </c>
      <c r="E9" s="16">
        <v>2</v>
      </c>
      <c r="F9" s="16">
        <v>3</v>
      </c>
      <c r="G9" s="16">
        <v>4</v>
      </c>
      <c r="H9" s="16">
        <v>5</v>
      </c>
      <c r="I9" s="16">
        <v>6</v>
      </c>
      <c r="J9" s="16">
        <v>7</v>
      </c>
      <c r="K9" s="16">
        <v>8</v>
      </c>
      <c r="L9" s="16">
        <v>9</v>
      </c>
      <c r="M9" s="16">
        <v>10</v>
      </c>
      <c r="N9" s="16">
        <v>11</v>
      </c>
      <c r="O9" s="16">
        <v>12</v>
      </c>
      <c r="P9" s="16">
        <v>13</v>
      </c>
      <c r="Q9" s="16">
        <v>14</v>
      </c>
      <c r="R9" s="16">
        <v>15</v>
      </c>
      <c r="S9" s="16">
        <v>16</v>
      </c>
      <c r="T9" s="16">
        <v>17</v>
      </c>
      <c r="U9" s="16">
        <v>18</v>
      </c>
      <c r="V9" s="16">
        <v>19</v>
      </c>
      <c r="W9" s="16">
        <v>20</v>
      </c>
      <c r="X9" s="16">
        <v>21</v>
      </c>
      <c r="Y9" s="16">
        <v>22</v>
      </c>
      <c r="Z9" s="16">
        <v>23</v>
      </c>
      <c r="AA9" s="16">
        <v>24</v>
      </c>
      <c r="AB9" s="18">
        <v>25</v>
      </c>
    </row>
    <row r="10" spans="1:28" ht="15" thickBot="1" x14ac:dyDescent="0.35">
      <c r="A10" s="115" t="s">
        <v>184</v>
      </c>
      <c r="B10" s="170" t="s">
        <v>185</v>
      </c>
      <c r="C10" s="171" t="s">
        <v>186</v>
      </c>
      <c r="D10" s="66">
        <v>6.9468164723700931E-2</v>
      </c>
      <c r="E10" s="67">
        <v>1.6241760392055032E-2</v>
      </c>
      <c r="F10" s="67">
        <v>5.7300101020958455E-3</v>
      </c>
      <c r="G10" s="67">
        <v>7.8645418770780004E-2</v>
      </c>
      <c r="H10" s="67">
        <v>1.2553300147118801E-2</v>
      </c>
      <c r="I10" s="67">
        <v>0</v>
      </c>
      <c r="J10" s="67">
        <v>1.1376787134159882E-2</v>
      </c>
      <c r="K10" s="67">
        <v>5.4736473253641947E-3</v>
      </c>
      <c r="L10" s="67">
        <v>7.1042038445391607E-3</v>
      </c>
      <c r="M10" s="67">
        <v>1.4425796837086837E-2</v>
      </c>
      <c r="N10" s="67">
        <v>9.095159777261913E-3</v>
      </c>
      <c r="O10" s="67">
        <v>5.1646683140300171E-3</v>
      </c>
      <c r="P10" s="67">
        <v>3.9594654443988343E-3</v>
      </c>
      <c r="Q10" s="67">
        <v>3.7863130475736737E-3</v>
      </c>
      <c r="R10" s="67">
        <v>1.3385352020505484E-2</v>
      </c>
      <c r="S10" s="67">
        <v>1.2050205881124784E-2</v>
      </c>
      <c r="T10" s="67">
        <v>2.9311120094009914E-2</v>
      </c>
      <c r="U10" s="67">
        <v>1.0459948819390303</v>
      </c>
      <c r="V10" s="67">
        <v>6.0534099764343124E-2</v>
      </c>
      <c r="W10" s="67">
        <v>1.0219618587391809E-2</v>
      </c>
      <c r="X10" s="67">
        <v>1.3907065267121852E-2</v>
      </c>
      <c r="Y10" s="67">
        <v>2.9592648281170475E-2</v>
      </c>
      <c r="Z10" s="67">
        <v>1.2684660758390531E-2</v>
      </c>
      <c r="AA10" s="67">
        <v>2.130749616217149E-2</v>
      </c>
      <c r="AB10" s="68">
        <v>9.7550461347644182E-3</v>
      </c>
    </row>
    <row r="11" spans="1:28" ht="14.25" customHeight="1" x14ac:dyDescent="0.3"/>
    <row r="12" spans="1:28" ht="14.25" customHeight="1" thickBot="1" x14ac:dyDescent="0.35">
      <c r="A12" s="76" t="s">
        <v>148</v>
      </c>
    </row>
    <row r="13" spans="1:28" ht="15" thickBot="1" x14ac:dyDescent="0.35">
      <c r="B13" s="136" t="s">
        <v>1</v>
      </c>
      <c r="C13" s="148" t="s">
        <v>2</v>
      </c>
      <c r="D13" s="17">
        <v>1</v>
      </c>
      <c r="E13" s="16">
        <v>2</v>
      </c>
      <c r="F13" s="16">
        <v>3</v>
      </c>
      <c r="G13" s="16">
        <v>4</v>
      </c>
      <c r="H13" s="16">
        <v>5</v>
      </c>
      <c r="I13" s="16">
        <v>6</v>
      </c>
      <c r="J13" s="16">
        <v>7</v>
      </c>
      <c r="K13" s="16">
        <v>8</v>
      </c>
      <c r="L13" s="16">
        <v>9</v>
      </c>
      <c r="M13" s="16">
        <v>10</v>
      </c>
      <c r="N13" s="16">
        <v>11</v>
      </c>
      <c r="O13" s="16">
        <v>12</v>
      </c>
      <c r="P13" s="16">
        <v>13</v>
      </c>
      <c r="Q13" s="16">
        <v>14</v>
      </c>
      <c r="R13" s="16">
        <v>15</v>
      </c>
      <c r="S13" s="16">
        <v>16</v>
      </c>
      <c r="T13" s="16">
        <v>17</v>
      </c>
      <c r="U13" s="16">
        <v>18</v>
      </c>
      <c r="V13" s="16">
        <v>19</v>
      </c>
      <c r="W13" s="16">
        <v>20</v>
      </c>
      <c r="X13" s="16">
        <v>21</v>
      </c>
      <c r="Y13" s="16">
        <v>22</v>
      </c>
      <c r="Z13" s="16">
        <v>23</v>
      </c>
      <c r="AA13" s="16">
        <v>24</v>
      </c>
      <c r="AB13" s="18">
        <v>25</v>
      </c>
    </row>
    <row r="14" spans="1:28" ht="15" thickBot="1" x14ac:dyDescent="0.35">
      <c r="A14" s="115" t="s">
        <v>184</v>
      </c>
      <c r="B14" s="170" t="s">
        <v>185</v>
      </c>
      <c r="C14" s="171" t="s">
        <v>186</v>
      </c>
      <c r="D14" s="66">
        <v>9.6790952661239393E-3</v>
      </c>
      <c r="E14" s="67">
        <v>2.2629868911827498E-3</v>
      </c>
      <c r="F14" s="67">
        <v>7.9837021568983705E-4</v>
      </c>
      <c r="G14" s="67">
        <v>1.0957774738316699E-2</v>
      </c>
      <c r="H14" s="67">
        <v>1.7490686346973E-3</v>
      </c>
      <c r="I14" s="67">
        <v>0</v>
      </c>
      <c r="J14" s="67">
        <v>1.5851434528596001E-3</v>
      </c>
      <c r="K14" s="67">
        <v>7.6265083619358998E-4</v>
      </c>
      <c r="L14" s="67">
        <v>9.8983852639190797E-4</v>
      </c>
      <c r="M14" s="67">
        <v>2.0099661828013602E-3</v>
      </c>
      <c r="N14" s="67">
        <v>1.2672411642782599E-3</v>
      </c>
      <c r="O14" s="67">
        <v>7.1960036411287303E-4</v>
      </c>
      <c r="P14" s="67">
        <v>5.5167778494926605E-4</v>
      </c>
      <c r="Q14" s="67">
        <v>5.2755222252661804E-4</v>
      </c>
      <c r="R14" s="67">
        <v>1.86499957055688E-3</v>
      </c>
      <c r="S14" s="67">
        <v>1.67897181628034E-3</v>
      </c>
      <c r="T14" s="67">
        <v>4.0839588158851697E-3</v>
      </c>
      <c r="U14" s="67">
        <v>0.145739910510573</v>
      </c>
      <c r="V14" s="67">
        <v>8.4342996651562193E-3</v>
      </c>
      <c r="W14" s="67">
        <v>1.4239135621941701E-3</v>
      </c>
      <c r="X14" s="67">
        <v>1.93769059724059E-3</v>
      </c>
      <c r="Y14" s="67">
        <v>4.1231845267480404E-3</v>
      </c>
      <c r="Z14" s="67">
        <v>1.7673712899606499E-3</v>
      </c>
      <c r="AA14" s="67">
        <v>2.9688028474122701E-3</v>
      </c>
      <c r="AB14" s="68">
        <v>1.35918404119873E-3</v>
      </c>
    </row>
    <row r="15" spans="1:28" ht="14.25" customHeight="1" x14ac:dyDescent="0.3"/>
    <row r="16" spans="1:28" x14ac:dyDescent="0.3">
      <c r="A16" s="1" t="s">
        <v>70</v>
      </c>
    </row>
    <row r="17" spans="1:28" ht="15" thickBot="1" x14ac:dyDescent="0.35">
      <c r="A17" s="110" t="s">
        <v>143</v>
      </c>
    </row>
    <row r="18" spans="1:28" ht="15" thickBot="1" x14ac:dyDescent="0.35">
      <c r="B18" s="136" t="s">
        <v>1</v>
      </c>
      <c r="C18" s="148" t="s">
        <v>2</v>
      </c>
      <c r="D18" s="3" t="s">
        <v>3</v>
      </c>
    </row>
    <row r="19" spans="1:28" ht="28.8" x14ac:dyDescent="0.3">
      <c r="A19" s="118" t="s">
        <v>187</v>
      </c>
      <c r="B19" s="202" t="s">
        <v>188</v>
      </c>
      <c r="C19" s="172" t="s">
        <v>189</v>
      </c>
      <c r="D19" s="69">
        <f>D20*D21*D22</f>
        <v>2080</v>
      </c>
    </row>
    <row r="20" spans="1:28" x14ac:dyDescent="0.3">
      <c r="A20" s="85" t="s">
        <v>71</v>
      </c>
      <c r="B20" s="203"/>
      <c r="C20" s="173" t="s">
        <v>190</v>
      </c>
      <c r="D20" s="70">
        <v>8</v>
      </c>
    </row>
    <row r="21" spans="1:28" x14ac:dyDescent="0.3">
      <c r="A21" s="85" t="s">
        <v>72</v>
      </c>
      <c r="B21" s="203"/>
      <c r="C21" s="173" t="s">
        <v>191</v>
      </c>
      <c r="D21" s="70">
        <v>5</v>
      </c>
    </row>
    <row r="22" spans="1:28" ht="15" thickBot="1" x14ac:dyDescent="0.35">
      <c r="A22" s="86" t="s">
        <v>192</v>
      </c>
      <c r="B22" s="204"/>
      <c r="C22" s="174" t="s">
        <v>193</v>
      </c>
      <c r="D22" s="71">
        <v>52</v>
      </c>
    </row>
    <row r="23" spans="1:28" ht="14.25" customHeight="1" x14ac:dyDescent="0.3"/>
    <row r="24" spans="1:28" x14ac:dyDescent="0.3">
      <c r="A24" s="1" t="s">
        <v>73</v>
      </c>
    </row>
    <row r="25" spans="1:28" ht="15" thickBot="1" x14ac:dyDescent="0.35">
      <c r="A25" s="110" t="s">
        <v>136</v>
      </c>
    </row>
    <row r="26" spans="1:28" ht="15" thickBot="1" x14ac:dyDescent="0.35">
      <c r="B26" s="136" t="s">
        <v>1</v>
      </c>
      <c r="C26" s="148" t="s">
        <v>2</v>
      </c>
      <c r="D26" s="3" t="s">
        <v>3</v>
      </c>
    </row>
    <row r="27" spans="1:28" ht="29.4" thickBot="1" x14ac:dyDescent="0.35">
      <c r="A27" s="124" t="s">
        <v>74</v>
      </c>
      <c r="B27" s="175" t="s">
        <v>194</v>
      </c>
      <c r="C27" s="176" t="s">
        <v>35</v>
      </c>
      <c r="D27" s="72">
        <v>0.9</v>
      </c>
    </row>
    <row r="28" spans="1:28" ht="14.25" customHeight="1" x14ac:dyDescent="0.3"/>
    <row r="29" spans="1:28" x14ac:dyDescent="0.3">
      <c r="A29" s="1" t="s">
        <v>75</v>
      </c>
    </row>
    <row r="30" spans="1:28" ht="15" thickBot="1" x14ac:dyDescent="0.35">
      <c r="A30" s="110" t="s">
        <v>143</v>
      </c>
    </row>
    <row r="31" spans="1:28" ht="15" thickBot="1" x14ac:dyDescent="0.35">
      <c r="A31" s="177"/>
      <c r="B31" s="136" t="s">
        <v>1</v>
      </c>
      <c r="C31" s="148" t="s">
        <v>2</v>
      </c>
      <c r="D31" s="17">
        <v>1</v>
      </c>
      <c r="E31" s="16">
        <v>2</v>
      </c>
      <c r="F31" s="16">
        <v>3</v>
      </c>
      <c r="G31" s="16">
        <v>4</v>
      </c>
      <c r="H31" s="16">
        <v>5</v>
      </c>
      <c r="I31" s="16">
        <v>6</v>
      </c>
      <c r="J31" s="16">
        <v>7</v>
      </c>
      <c r="K31" s="16">
        <v>8</v>
      </c>
      <c r="L31" s="16">
        <v>9</v>
      </c>
      <c r="M31" s="16">
        <v>10</v>
      </c>
      <c r="N31" s="16">
        <v>11</v>
      </c>
      <c r="O31" s="16">
        <v>12</v>
      </c>
      <c r="P31" s="16">
        <v>13</v>
      </c>
      <c r="Q31" s="16">
        <v>14</v>
      </c>
      <c r="R31" s="16">
        <v>15</v>
      </c>
      <c r="S31" s="16">
        <v>16</v>
      </c>
      <c r="T31" s="16">
        <v>17</v>
      </c>
      <c r="U31" s="16">
        <v>18</v>
      </c>
      <c r="V31" s="16">
        <v>19</v>
      </c>
      <c r="W31" s="16">
        <v>20</v>
      </c>
      <c r="X31" s="16">
        <v>21</v>
      </c>
      <c r="Y31" s="16">
        <v>22</v>
      </c>
      <c r="Z31" s="16">
        <v>23</v>
      </c>
      <c r="AA31" s="16">
        <v>24</v>
      </c>
      <c r="AB31" s="18">
        <v>25</v>
      </c>
    </row>
    <row r="32" spans="1:28" ht="43.8" thickBot="1" x14ac:dyDescent="0.35">
      <c r="A32" s="124" t="s">
        <v>195</v>
      </c>
      <c r="B32" s="178" t="s">
        <v>196</v>
      </c>
      <c r="C32" s="171" t="s">
        <v>35</v>
      </c>
      <c r="D32" s="53">
        <v>0.25</v>
      </c>
      <c r="E32" s="54">
        <v>0.18</v>
      </c>
      <c r="F32" s="54">
        <v>0.18</v>
      </c>
      <c r="G32" s="54">
        <v>0.25</v>
      </c>
      <c r="H32" s="54">
        <v>0.25</v>
      </c>
      <c r="I32" s="54">
        <v>0.18</v>
      </c>
      <c r="J32" s="54">
        <v>0.18</v>
      </c>
      <c r="K32" s="54">
        <v>0.18</v>
      </c>
      <c r="L32" s="54">
        <v>0.18</v>
      </c>
      <c r="M32" s="54">
        <v>0.18</v>
      </c>
      <c r="N32" s="54">
        <v>0.18</v>
      </c>
      <c r="O32" s="54">
        <v>0.18</v>
      </c>
      <c r="P32" s="54">
        <v>0.18</v>
      </c>
      <c r="Q32" s="54">
        <v>0.18</v>
      </c>
      <c r="R32" s="54">
        <v>0.18</v>
      </c>
      <c r="S32" s="54">
        <v>0.18</v>
      </c>
      <c r="T32" s="54">
        <v>0.18</v>
      </c>
      <c r="U32" s="54">
        <v>0.18</v>
      </c>
      <c r="V32" s="54">
        <v>0.18</v>
      </c>
      <c r="W32" s="54">
        <v>0.18</v>
      </c>
      <c r="X32" s="54">
        <v>0.18</v>
      </c>
      <c r="Y32" s="54">
        <v>0.18</v>
      </c>
      <c r="Z32" s="54">
        <v>0.18</v>
      </c>
      <c r="AA32" s="54">
        <v>0.18</v>
      </c>
      <c r="AB32" s="55">
        <v>0.18</v>
      </c>
    </row>
    <row r="33" spans="1:11" x14ac:dyDescent="0.3">
      <c r="A33" s="1"/>
    </row>
    <row r="34" spans="1:11" x14ac:dyDescent="0.3">
      <c r="A34" s="1" t="s">
        <v>76</v>
      </c>
    </row>
    <row r="35" spans="1:11" ht="15" thickBot="1" x14ac:dyDescent="0.35">
      <c r="A35" s="110" t="s">
        <v>143</v>
      </c>
    </row>
    <row r="36" spans="1:11" ht="15" thickBot="1" x14ac:dyDescent="0.35">
      <c r="A36" s="177"/>
      <c r="B36" s="136" t="s">
        <v>1</v>
      </c>
      <c r="C36" s="148" t="s">
        <v>2</v>
      </c>
      <c r="D36" s="65" t="s">
        <v>51</v>
      </c>
      <c r="K36" t="s">
        <v>77</v>
      </c>
    </row>
    <row r="37" spans="1:11" x14ac:dyDescent="0.3">
      <c r="A37" s="118" t="s">
        <v>197</v>
      </c>
      <c r="B37" s="196" t="s">
        <v>198</v>
      </c>
      <c r="C37" s="199" t="s">
        <v>35</v>
      </c>
      <c r="D37" s="73">
        <v>0.24520548</v>
      </c>
    </row>
    <row r="38" spans="1:11" ht="28.8" x14ac:dyDescent="0.3">
      <c r="A38" s="85" t="s">
        <v>199</v>
      </c>
      <c r="B38" s="197"/>
      <c r="C38" s="200"/>
      <c r="D38" s="74">
        <v>0.5</v>
      </c>
    </row>
    <row r="39" spans="1:11" ht="15" thickBot="1" x14ac:dyDescent="0.35">
      <c r="A39" s="86" t="s">
        <v>78</v>
      </c>
      <c r="B39" s="198"/>
      <c r="C39" s="201"/>
      <c r="D39" s="75">
        <v>0.49041096000000001</v>
      </c>
    </row>
    <row r="40" spans="1:11" ht="14.25" customHeight="1" x14ac:dyDescent="0.3"/>
    <row r="41" spans="1:11" ht="14.25" customHeight="1" x14ac:dyDescent="0.3"/>
    <row r="42" spans="1:11" ht="14.25" customHeight="1" x14ac:dyDescent="0.3"/>
    <row r="43" spans="1:11" ht="14.25" customHeight="1" x14ac:dyDescent="0.3"/>
  </sheetData>
  <mergeCells count="3">
    <mergeCell ref="B37:B39"/>
    <mergeCell ref="C37:C39"/>
    <mergeCell ref="B19:B2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D889-2ECD-479D-97F3-11239883ABD2}">
  <dimension ref="A1:D48"/>
  <sheetViews>
    <sheetView workbookViewId="0"/>
  </sheetViews>
  <sheetFormatPr baseColWidth="10" defaultRowHeight="14.4" x14ac:dyDescent="0.3"/>
  <cols>
    <col min="1" max="1" width="27.5546875" customWidth="1"/>
    <col min="2" max="2" width="29.5546875" customWidth="1"/>
  </cols>
  <sheetData>
    <row r="1" spans="1:4" ht="25.8" x14ac:dyDescent="0.5">
      <c r="A1" s="166" t="s">
        <v>200</v>
      </c>
    </row>
    <row r="3" spans="1:4" x14ac:dyDescent="0.3">
      <c r="A3" s="1" t="s">
        <v>80</v>
      </c>
    </row>
    <row r="4" spans="1:4" ht="15" thickBot="1" x14ac:dyDescent="0.35">
      <c r="A4" s="110" t="s">
        <v>131</v>
      </c>
    </row>
    <row r="5" spans="1:4" ht="15" thickBot="1" x14ac:dyDescent="0.35">
      <c r="B5" s="136" t="s">
        <v>1</v>
      </c>
      <c r="C5" s="113" t="s">
        <v>2</v>
      </c>
      <c r="D5" s="3" t="s">
        <v>3</v>
      </c>
    </row>
    <row r="6" spans="1:4" ht="29.4" thickBot="1" x14ac:dyDescent="0.35">
      <c r="A6" s="124" t="s">
        <v>81</v>
      </c>
      <c r="B6" s="179" t="s">
        <v>201</v>
      </c>
      <c r="C6" s="176" t="s">
        <v>35</v>
      </c>
      <c r="D6" s="77">
        <v>0.02</v>
      </c>
    </row>
    <row r="7" spans="1:4" ht="14.25" customHeight="1" x14ac:dyDescent="0.3"/>
    <row r="8" spans="1:4" x14ac:dyDescent="0.3">
      <c r="A8" s="1" t="s">
        <v>82</v>
      </c>
    </row>
    <row r="9" spans="1:4" ht="15" thickBot="1" x14ac:dyDescent="0.35">
      <c r="A9" s="110" t="s">
        <v>127</v>
      </c>
    </row>
    <row r="10" spans="1:4" ht="15" thickBot="1" x14ac:dyDescent="0.35">
      <c r="B10" s="167" t="s">
        <v>1</v>
      </c>
      <c r="C10" s="113" t="s">
        <v>2</v>
      </c>
      <c r="D10" s="3" t="s">
        <v>3</v>
      </c>
    </row>
    <row r="11" spans="1:4" ht="29.4" thickBot="1" x14ac:dyDescent="0.35">
      <c r="A11" s="124" t="s">
        <v>202</v>
      </c>
      <c r="B11" s="180" t="s">
        <v>203</v>
      </c>
      <c r="C11" s="181" t="s">
        <v>83</v>
      </c>
      <c r="D11" s="81">
        <v>169000</v>
      </c>
    </row>
    <row r="13" spans="1:4" ht="15" thickBot="1" x14ac:dyDescent="0.35">
      <c r="A13" s="110" t="s">
        <v>128</v>
      </c>
    </row>
    <row r="14" spans="1:4" ht="15" thickBot="1" x14ac:dyDescent="0.35">
      <c r="B14" s="167" t="s">
        <v>1</v>
      </c>
      <c r="C14" s="113" t="s">
        <v>2</v>
      </c>
      <c r="D14" s="3" t="s">
        <v>3</v>
      </c>
    </row>
    <row r="15" spans="1:4" ht="29.4" thickBot="1" x14ac:dyDescent="0.35">
      <c r="A15" s="124" t="s">
        <v>202</v>
      </c>
      <c r="B15" s="180" t="s">
        <v>203</v>
      </c>
      <c r="C15" s="181" t="s">
        <v>83</v>
      </c>
      <c r="D15" s="81">
        <v>284000</v>
      </c>
    </row>
    <row r="17" spans="1:4" ht="15" thickBot="1" x14ac:dyDescent="0.35">
      <c r="A17" s="110" t="s">
        <v>129</v>
      </c>
    </row>
    <row r="18" spans="1:4" ht="15" thickBot="1" x14ac:dyDescent="0.35">
      <c r="B18" s="167" t="s">
        <v>1</v>
      </c>
      <c r="C18" s="113" t="s">
        <v>2</v>
      </c>
      <c r="D18" s="3" t="s">
        <v>3</v>
      </c>
    </row>
    <row r="19" spans="1:4" ht="29.4" thickBot="1" x14ac:dyDescent="0.35">
      <c r="A19" s="124" t="s">
        <v>202</v>
      </c>
      <c r="B19" s="180" t="s">
        <v>203</v>
      </c>
      <c r="C19" s="181" t="s">
        <v>83</v>
      </c>
      <c r="D19" s="81">
        <v>589700</v>
      </c>
    </row>
    <row r="20" spans="1:4" ht="14.25" customHeight="1" x14ac:dyDescent="0.3"/>
    <row r="21" spans="1:4" ht="15" thickBot="1" x14ac:dyDescent="0.35">
      <c r="A21" s="76" t="s">
        <v>132</v>
      </c>
    </row>
    <row r="22" spans="1:4" ht="15" thickBot="1" x14ac:dyDescent="0.35">
      <c r="B22" s="167" t="s">
        <v>1</v>
      </c>
      <c r="C22" s="113" t="s">
        <v>2</v>
      </c>
      <c r="D22" s="3" t="s">
        <v>3</v>
      </c>
    </row>
    <row r="23" spans="1:4" ht="29.4" thickBot="1" x14ac:dyDescent="0.35">
      <c r="A23" s="124" t="s">
        <v>202</v>
      </c>
      <c r="B23" s="180" t="s">
        <v>203</v>
      </c>
      <c r="C23" s="181" t="s">
        <v>83</v>
      </c>
      <c r="D23" s="81">
        <v>83900</v>
      </c>
    </row>
    <row r="24" spans="1:4" ht="14.25" customHeight="1" x14ac:dyDescent="0.3"/>
    <row r="25" spans="1:4" ht="15" thickBot="1" x14ac:dyDescent="0.35">
      <c r="A25" s="76" t="s">
        <v>133</v>
      </c>
    </row>
    <row r="26" spans="1:4" ht="15" thickBot="1" x14ac:dyDescent="0.35">
      <c r="B26" s="167" t="s">
        <v>1</v>
      </c>
      <c r="C26" s="113" t="s">
        <v>2</v>
      </c>
      <c r="D26" s="3" t="s">
        <v>3</v>
      </c>
    </row>
    <row r="27" spans="1:4" ht="29.4" thickBot="1" x14ac:dyDescent="0.35">
      <c r="A27" s="124" t="s">
        <v>202</v>
      </c>
      <c r="B27" s="180" t="s">
        <v>203</v>
      </c>
      <c r="C27" s="181" t="s">
        <v>83</v>
      </c>
      <c r="D27" s="81">
        <v>83900</v>
      </c>
    </row>
    <row r="28" spans="1:4" ht="14.25" customHeight="1" x14ac:dyDescent="0.3"/>
    <row r="29" spans="1:4" ht="15" thickBot="1" x14ac:dyDescent="0.35">
      <c r="A29" s="76" t="s">
        <v>134</v>
      </c>
    </row>
    <row r="30" spans="1:4" ht="15" thickBot="1" x14ac:dyDescent="0.35">
      <c r="B30" s="167" t="s">
        <v>1</v>
      </c>
      <c r="C30" s="113" t="s">
        <v>2</v>
      </c>
      <c r="D30" s="3" t="s">
        <v>3</v>
      </c>
    </row>
    <row r="31" spans="1:4" ht="29.4" thickBot="1" x14ac:dyDescent="0.35">
      <c r="A31" s="124" t="s">
        <v>202</v>
      </c>
      <c r="B31" s="180" t="s">
        <v>203</v>
      </c>
      <c r="C31" s="181" t="s">
        <v>83</v>
      </c>
      <c r="D31" s="81">
        <v>353900</v>
      </c>
    </row>
    <row r="32" spans="1:4" ht="14.25" customHeight="1" x14ac:dyDescent="0.3"/>
    <row r="33" spans="1:4" ht="14.25" customHeight="1" x14ac:dyDescent="0.3"/>
    <row r="34" spans="1:4" x14ac:dyDescent="0.3">
      <c r="A34" s="112" t="s">
        <v>204</v>
      </c>
    </row>
    <row r="35" spans="1:4" ht="15" thickBot="1" x14ac:dyDescent="0.35">
      <c r="A35" s="110" t="s">
        <v>132</v>
      </c>
    </row>
    <row r="36" spans="1:4" ht="15" thickBot="1" x14ac:dyDescent="0.35">
      <c r="B36" s="136" t="s">
        <v>1</v>
      </c>
      <c r="C36" s="113" t="s">
        <v>2</v>
      </c>
      <c r="D36" s="3" t="s">
        <v>3</v>
      </c>
    </row>
    <row r="37" spans="1:4" ht="22.8" customHeight="1" x14ac:dyDescent="0.3">
      <c r="A37" s="118" t="s">
        <v>84</v>
      </c>
      <c r="B37" s="205" t="s">
        <v>205</v>
      </c>
      <c r="C37" s="182" t="s">
        <v>35</v>
      </c>
      <c r="D37" s="6">
        <v>0.58819999999999995</v>
      </c>
    </row>
    <row r="38" spans="1:4" ht="22.8" customHeight="1" thickBot="1" x14ac:dyDescent="0.35">
      <c r="A38" s="86" t="s">
        <v>85</v>
      </c>
      <c r="B38" s="206"/>
      <c r="C38" s="183" t="s">
        <v>35</v>
      </c>
      <c r="D38" s="12">
        <v>4.1176000000000004</v>
      </c>
    </row>
    <row r="40" spans="1:4" ht="15" thickBot="1" x14ac:dyDescent="0.35">
      <c r="A40" s="110" t="s">
        <v>133</v>
      </c>
    </row>
    <row r="41" spans="1:4" ht="15" thickBot="1" x14ac:dyDescent="0.35">
      <c r="B41" s="136" t="s">
        <v>1</v>
      </c>
      <c r="C41" s="113" t="s">
        <v>2</v>
      </c>
      <c r="D41" s="3" t="s">
        <v>3</v>
      </c>
    </row>
    <row r="42" spans="1:4" ht="22.8" customHeight="1" x14ac:dyDescent="0.3">
      <c r="A42" s="118" t="s">
        <v>84</v>
      </c>
      <c r="B42" s="205" t="s">
        <v>205</v>
      </c>
      <c r="C42" s="182" t="s">
        <v>35</v>
      </c>
      <c r="D42" s="6">
        <v>0.62350000000000005</v>
      </c>
    </row>
    <row r="43" spans="1:4" ht="22.8" customHeight="1" thickBot="1" x14ac:dyDescent="0.35">
      <c r="A43" s="86" t="s">
        <v>85</v>
      </c>
      <c r="B43" s="206"/>
      <c r="C43" s="183" t="s">
        <v>35</v>
      </c>
      <c r="D43" s="12">
        <v>3.7646999999999999</v>
      </c>
    </row>
    <row r="45" spans="1:4" ht="15" thickBot="1" x14ac:dyDescent="0.35">
      <c r="A45" s="110" t="s">
        <v>129</v>
      </c>
    </row>
    <row r="46" spans="1:4" ht="15" thickBot="1" x14ac:dyDescent="0.35">
      <c r="B46" s="136" t="s">
        <v>1</v>
      </c>
      <c r="C46" s="113" t="s">
        <v>2</v>
      </c>
      <c r="D46" s="3" t="s">
        <v>3</v>
      </c>
    </row>
    <row r="47" spans="1:4" ht="24.6" customHeight="1" x14ac:dyDescent="0.3">
      <c r="A47" s="118" t="s">
        <v>84</v>
      </c>
      <c r="B47" s="205" t="s">
        <v>205</v>
      </c>
      <c r="C47" s="182" t="s">
        <v>35</v>
      </c>
      <c r="D47" s="6">
        <v>0.52939999999999998</v>
      </c>
    </row>
    <row r="48" spans="1:4" ht="24.6" customHeight="1" thickBot="1" x14ac:dyDescent="0.35">
      <c r="A48" s="86" t="s">
        <v>85</v>
      </c>
      <c r="B48" s="206"/>
      <c r="C48" s="183" t="s">
        <v>35</v>
      </c>
      <c r="D48" s="12">
        <v>4.7058999999999997</v>
      </c>
    </row>
  </sheetData>
  <mergeCells count="3">
    <mergeCell ref="B37:B38"/>
    <mergeCell ref="B42:B43"/>
    <mergeCell ref="B47:B48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5C02-0796-4C2D-AC73-6F811C501FE2}">
  <dimension ref="A1:BA98"/>
  <sheetViews>
    <sheetView workbookViewId="0"/>
  </sheetViews>
  <sheetFormatPr baseColWidth="10" defaultRowHeight="14.4" x14ac:dyDescent="0.3"/>
  <cols>
    <col min="1" max="1" width="29.77734375" customWidth="1"/>
    <col min="2" max="2" width="24.44140625" customWidth="1"/>
    <col min="4" max="5" width="15.21875" customWidth="1"/>
    <col min="6" max="7" width="20.21875" customWidth="1"/>
    <col min="8" max="12" width="15.21875" customWidth="1"/>
  </cols>
  <sheetData>
    <row r="1" spans="1:53" ht="25.8" x14ac:dyDescent="0.5">
      <c r="A1" s="166" t="s">
        <v>211</v>
      </c>
    </row>
    <row r="3" spans="1:53" x14ac:dyDescent="0.3">
      <c r="A3" s="1" t="s">
        <v>86</v>
      </c>
    </row>
    <row r="4" spans="1:53" ht="15" thickBot="1" x14ac:dyDescent="0.35">
      <c r="A4" s="111" t="s">
        <v>140</v>
      </c>
    </row>
    <row r="5" spans="1:53" ht="15" thickBot="1" x14ac:dyDescent="0.35">
      <c r="B5" s="167" t="s">
        <v>1</v>
      </c>
      <c r="C5" s="168" t="s">
        <v>2</v>
      </c>
      <c r="D5" s="17">
        <v>1</v>
      </c>
      <c r="E5" s="16">
        <v>2</v>
      </c>
      <c r="F5" s="16">
        <v>3</v>
      </c>
      <c r="G5" s="16">
        <v>4</v>
      </c>
      <c r="H5" s="16">
        <v>5</v>
      </c>
      <c r="I5" s="16">
        <v>6</v>
      </c>
      <c r="J5" s="16">
        <v>7</v>
      </c>
      <c r="K5" s="16">
        <v>8</v>
      </c>
      <c r="L5" s="16">
        <v>9</v>
      </c>
      <c r="M5" s="16">
        <v>10</v>
      </c>
      <c r="N5" s="16">
        <v>11</v>
      </c>
      <c r="O5" s="16">
        <v>12</v>
      </c>
      <c r="P5" s="16">
        <v>13</v>
      </c>
      <c r="Q5" s="16">
        <v>14</v>
      </c>
      <c r="R5" s="16">
        <v>15</v>
      </c>
      <c r="S5" s="16">
        <v>16</v>
      </c>
      <c r="T5" s="16">
        <v>17</v>
      </c>
      <c r="U5" s="16">
        <v>18</v>
      </c>
      <c r="V5" s="16">
        <v>19</v>
      </c>
      <c r="W5" s="16">
        <v>20</v>
      </c>
      <c r="X5" s="16">
        <v>21</v>
      </c>
      <c r="Y5" s="16">
        <v>22</v>
      </c>
      <c r="Z5" s="16">
        <v>23</v>
      </c>
      <c r="AA5" s="16">
        <v>24</v>
      </c>
      <c r="AB5" s="18">
        <v>25</v>
      </c>
    </row>
    <row r="6" spans="1:53" x14ac:dyDescent="0.3">
      <c r="A6" s="118" t="s">
        <v>206</v>
      </c>
      <c r="B6" s="213" t="s">
        <v>207</v>
      </c>
      <c r="C6" s="207" t="s">
        <v>100</v>
      </c>
      <c r="D6" s="31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18.0482671489655</v>
      </c>
      <c r="N6" s="32">
        <v>0</v>
      </c>
      <c r="O6" s="32">
        <v>0</v>
      </c>
      <c r="P6" s="32">
        <v>0</v>
      </c>
      <c r="Q6" s="32">
        <v>0</v>
      </c>
      <c r="R6" s="32">
        <v>0.50369053294351196</v>
      </c>
      <c r="S6" s="32">
        <v>1.4218024758814101</v>
      </c>
      <c r="T6" s="32">
        <v>0.65693224339913003</v>
      </c>
      <c r="U6" s="32">
        <v>2.7870944995152902</v>
      </c>
      <c r="V6" s="32">
        <v>0</v>
      </c>
      <c r="W6" s="32">
        <v>2.7593661576932999E-3</v>
      </c>
      <c r="X6" s="32">
        <v>0</v>
      </c>
      <c r="Y6" s="32">
        <v>0</v>
      </c>
      <c r="Z6" s="32">
        <v>0</v>
      </c>
      <c r="AA6" s="32">
        <v>0</v>
      </c>
      <c r="AB6" s="33">
        <v>0</v>
      </c>
    </row>
    <row r="7" spans="1:53" x14ac:dyDescent="0.3">
      <c r="A7" s="85" t="s">
        <v>208</v>
      </c>
      <c r="B7" s="214"/>
      <c r="C7" s="208"/>
      <c r="D7" s="29">
        <v>0.27592648810958398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  <c r="O7" s="24">
        <v>0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5">
        <v>0</v>
      </c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</row>
    <row r="8" spans="1:53" x14ac:dyDescent="0.3">
      <c r="A8" s="85" t="s">
        <v>209</v>
      </c>
      <c r="B8" s="214"/>
      <c r="C8" s="208"/>
      <c r="D8" s="29">
        <v>0</v>
      </c>
      <c r="E8" s="24">
        <v>0.48339469940824698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5">
        <v>0</v>
      </c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</row>
    <row r="9" spans="1:53" ht="15" thickBot="1" x14ac:dyDescent="0.35">
      <c r="A9" s="86" t="s">
        <v>210</v>
      </c>
      <c r="B9" s="215"/>
      <c r="C9" s="209"/>
      <c r="D9" s="34">
        <v>1.5842214585452302E-2</v>
      </c>
      <c r="E9" s="27">
        <v>0.15845529736429301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8">
        <v>0</v>
      </c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</row>
    <row r="10" spans="1:53" ht="14.25" customHeight="1" x14ac:dyDescent="0.3"/>
    <row r="11" spans="1:53" ht="15" thickBot="1" x14ac:dyDescent="0.35">
      <c r="A11" s="111" t="s">
        <v>141</v>
      </c>
    </row>
    <row r="12" spans="1:53" ht="15" thickBot="1" x14ac:dyDescent="0.35">
      <c r="B12" s="167" t="s">
        <v>1</v>
      </c>
      <c r="C12" s="168" t="s">
        <v>2</v>
      </c>
      <c r="D12" s="17">
        <v>1</v>
      </c>
      <c r="E12" s="16">
        <v>2</v>
      </c>
      <c r="F12" s="16">
        <v>3</v>
      </c>
      <c r="G12" s="16">
        <v>4</v>
      </c>
      <c r="H12" s="16">
        <v>5</v>
      </c>
      <c r="I12" s="16">
        <v>6</v>
      </c>
      <c r="J12" s="16">
        <v>7</v>
      </c>
      <c r="K12" s="16">
        <v>8</v>
      </c>
      <c r="L12" s="16">
        <v>9</v>
      </c>
      <c r="M12" s="16">
        <v>10</v>
      </c>
      <c r="N12" s="16">
        <v>11</v>
      </c>
      <c r="O12" s="16">
        <v>12</v>
      </c>
      <c r="P12" s="16">
        <v>13</v>
      </c>
      <c r="Q12" s="16">
        <v>14</v>
      </c>
      <c r="R12" s="16">
        <v>15</v>
      </c>
      <c r="S12" s="16">
        <v>16</v>
      </c>
      <c r="T12" s="16">
        <v>17</v>
      </c>
      <c r="U12" s="16">
        <v>18</v>
      </c>
      <c r="V12" s="16">
        <v>19</v>
      </c>
      <c r="W12" s="16">
        <v>20</v>
      </c>
      <c r="X12" s="16">
        <v>21</v>
      </c>
      <c r="Y12" s="16">
        <v>22</v>
      </c>
      <c r="Z12" s="16">
        <v>23</v>
      </c>
      <c r="AA12" s="16">
        <v>24</v>
      </c>
      <c r="AB12" s="18">
        <v>25</v>
      </c>
    </row>
    <row r="13" spans="1:53" x14ac:dyDescent="0.3">
      <c r="A13" s="118" t="s">
        <v>206</v>
      </c>
      <c r="B13" s="213" t="s">
        <v>207</v>
      </c>
      <c r="C13" s="207" t="s">
        <v>100</v>
      </c>
      <c r="D13" s="31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39.777437235832096</v>
      </c>
      <c r="N13" s="32">
        <v>0</v>
      </c>
      <c r="O13" s="32">
        <v>0</v>
      </c>
      <c r="P13" s="32">
        <v>0</v>
      </c>
      <c r="Q13" s="32">
        <v>0</v>
      </c>
      <c r="R13" s="32">
        <v>1.1101076017478901</v>
      </c>
      <c r="S13" s="32">
        <v>3.1335783252391169</v>
      </c>
      <c r="T13" s="32">
        <v>1.4478443201402305</v>
      </c>
      <c r="U13" s="32">
        <v>6.1426105680819765</v>
      </c>
      <c r="V13" s="32">
        <v>0</v>
      </c>
      <c r="W13" s="32">
        <v>6.0814987523395208E-3</v>
      </c>
      <c r="X13" s="32">
        <v>0</v>
      </c>
      <c r="Y13" s="32">
        <v>0</v>
      </c>
      <c r="Z13" s="32">
        <v>0</v>
      </c>
      <c r="AA13" s="32">
        <v>0</v>
      </c>
      <c r="AB13" s="33">
        <v>0</v>
      </c>
    </row>
    <row r="14" spans="1:53" x14ac:dyDescent="0.3">
      <c r="A14" s="85" t="s">
        <v>208</v>
      </c>
      <c r="B14" s="214"/>
      <c r="C14" s="208"/>
      <c r="D14" s="29">
        <v>0.72975306528161443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5">
        <v>0</v>
      </c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</row>
    <row r="15" spans="1:53" x14ac:dyDescent="0.3">
      <c r="A15" s="85" t="s">
        <v>209</v>
      </c>
      <c r="B15" s="214"/>
      <c r="C15" s="208"/>
      <c r="D15" s="29">
        <v>0</v>
      </c>
      <c r="E15" s="24">
        <v>1.0653766456990608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5">
        <v>0</v>
      </c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</row>
    <row r="16" spans="1:53" ht="15" thickBot="1" x14ac:dyDescent="0.35">
      <c r="A16" s="86" t="s">
        <v>210</v>
      </c>
      <c r="B16" s="215"/>
      <c r="C16" s="209"/>
      <c r="D16" s="34">
        <v>3.4915412717920237E-2</v>
      </c>
      <c r="E16" s="27">
        <v>0.34922719137357955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8">
        <v>0</v>
      </c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</row>
    <row r="17" spans="1:53" x14ac:dyDescent="0.3">
      <c r="A17" s="111"/>
    </row>
    <row r="18" spans="1:53" ht="15" thickBot="1" x14ac:dyDescent="0.35">
      <c r="A18" s="111" t="s">
        <v>142</v>
      </c>
    </row>
    <row r="19" spans="1:53" ht="15" thickBot="1" x14ac:dyDescent="0.35">
      <c r="B19" s="167" t="s">
        <v>1</v>
      </c>
      <c r="C19" s="168" t="s">
        <v>2</v>
      </c>
      <c r="D19" s="17">
        <v>1</v>
      </c>
      <c r="E19" s="16">
        <v>2</v>
      </c>
      <c r="F19" s="16">
        <v>3</v>
      </c>
      <c r="G19" s="16">
        <v>4</v>
      </c>
      <c r="H19" s="16">
        <v>5</v>
      </c>
      <c r="I19" s="16">
        <v>6</v>
      </c>
      <c r="J19" s="16">
        <v>7</v>
      </c>
      <c r="K19" s="16">
        <v>8</v>
      </c>
      <c r="L19" s="16">
        <v>9</v>
      </c>
      <c r="M19" s="16">
        <v>10</v>
      </c>
      <c r="N19" s="16">
        <v>11</v>
      </c>
      <c r="O19" s="16">
        <v>12</v>
      </c>
      <c r="P19" s="16">
        <v>13</v>
      </c>
      <c r="Q19" s="16">
        <v>14</v>
      </c>
      <c r="R19" s="16">
        <v>15</v>
      </c>
      <c r="S19" s="16">
        <v>16</v>
      </c>
      <c r="T19" s="16">
        <v>17</v>
      </c>
      <c r="U19" s="16">
        <v>18</v>
      </c>
      <c r="V19" s="16">
        <v>19</v>
      </c>
      <c r="W19" s="16">
        <v>20</v>
      </c>
      <c r="X19" s="16">
        <v>21</v>
      </c>
      <c r="Y19" s="16">
        <v>22</v>
      </c>
      <c r="Z19" s="16">
        <v>23</v>
      </c>
      <c r="AA19" s="16">
        <v>24</v>
      </c>
      <c r="AB19" s="18">
        <v>25</v>
      </c>
    </row>
    <row r="20" spans="1:53" x14ac:dyDescent="0.3">
      <c r="A20" s="118" t="s">
        <v>206</v>
      </c>
      <c r="B20" s="213" t="s">
        <v>207</v>
      </c>
      <c r="C20" s="207" t="s">
        <v>100</v>
      </c>
      <c r="D20" s="31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8.2518291712014502</v>
      </c>
      <c r="N20" s="32">
        <v>0</v>
      </c>
      <c r="O20" s="32">
        <v>0</v>
      </c>
      <c r="P20" s="32">
        <v>0</v>
      </c>
      <c r="Q20" s="32">
        <v>0</v>
      </c>
      <c r="R20" s="32">
        <v>0.23029181686506101</v>
      </c>
      <c r="S20" s="32">
        <v>0.65006080912522202</v>
      </c>
      <c r="T20" s="32">
        <v>0.30035529753860402</v>
      </c>
      <c r="U20" s="32">
        <v>1.2742845340314899</v>
      </c>
      <c r="V20" s="32">
        <v>0</v>
      </c>
      <c r="W20" s="32">
        <v>1.2616068881374401E-3</v>
      </c>
      <c r="X20" s="32">
        <v>0</v>
      </c>
      <c r="Y20" s="32">
        <v>0</v>
      </c>
      <c r="Z20" s="32">
        <v>0</v>
      </c>
      <c r="AA20" s="32">
        <v>0</v>
      </c>
      <c r="AB20" s="33">
        <v>0</v>
      </c>
    </row>
    <row r="21" spans="1:53" x14ac:dyDescent="0.3">
      <c r="A21" s="85" t="s">
        <v>208</v>
      </c>
      <c r="B21" s="214"/>
      <c r="C21" s="208"/>
      <c r="D21" s="29">
        <v>0.15138727002854699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5">
        <v>0</v>
      </c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</row>
    <row r="22" spans="1:53" x14ac:dyDescent="0.3">
      <c r="A22" s="85" t="s">
        <v>209</v>
      </c>
      <c r="B22" s="214"/>
      <c r="C22" s="208"/>
      <c r="D22" s="29">
        <v>0</v>
      </c>
      <c r="E22" s="24">
        <v>0.22101238023893899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5">
        <v>0</v>
      </c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</row>
    <row r="23" spans="1:53" ht="15" thickBot="1" x14ac:dyDescent="0.35">
      <c r="A23" s="86" t="s">
        <v>210</v>
      </c>
      <c r="B23" s="215"/>
      <c r="C23" s="209"/>
      <c r="D23" s="34">
        <v>7.2432022073743102E-3</v>
      </c>
      <c r="E23" s="27">
        <v>7.2447179240529902E-2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8">
        <v>0</v>
      </c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</row>
    <row r="24" spans="1:53" ht="14.25" customHeight="1" x14ac:dyDescent="0.3"/>
    <row r="25" spans="1:53" ht="15" thickBot="1" x14ac:dyDescent="0.35">
      <c r="A25" s="111" t="s">
        <v>132</v>
      </c>
    </row>
    <row r="26" spans="1:53" ht="15" thickBot="1" x14ac:dyDescent="0.35">
      <c r="B26" s="167" t="s">
        <v>1</v>
      </c>
      <c r="C26" s="168" t="s">
        <v>2</v>
      </c>
      <c r="D26" s="17">
        <v>1</v>
      </c>
      <c r="E26" s="16">
        <v>2</v>
      </c>
      <c r="F26" s="16">
        <v>3</v>
      </c>
      <c r="G26" s="16">
        <v>4</v>
      </c>
      <c r="H26" s="16">
        <v>5</v>
      </c>
      <c r="I26" s="16">
        <v>6</v>
      </c>
      <c r="J26" s="16">
        <v>7</v>
      </c>
      <c r="K26" s="16">
        <v>8</v>
      </c>
      <c r="L26" s="16">
        <v>9</v>
      </c>
      <c r="M26" s="16">
        <v>10</v>
      </c>
      <c r="N26" s="16">
        <v>11</v>
      </c>
      <c r="O26" s="16">
        <v>12</v>
      </c>
      <c r="P26" s="16">
        <v>13</v>
      </c>
      <c r="Q26" s="16">
        <v>14</v>
      </c>
      <c r="R26" s="16">
        <v>15</v>
      </c>
      <c r="S26" s="16">
        <v>16</v>
      </c>
      <c r="T26" s="16">
        <v>17</v>
      </c>
      <c r="U26" s="16">
        <v>18</v>
      </c>
      <c r="V26" s="16">
        <v>19</v>
      </c>
      <c r="W26" s="16">
        <v>20</v>
      </c>
      <c r="X26" s="16">
        <v>21</v>
      </c>
      <c r="Y26" s="16">
        <v>22</v>
      </c>
      <c r="Z26" s="16">
        <v>23</v>
      </c>
      <c r="AA26" s="16">
        <v>24</v>
      </c>
      <c r="AB26" s="18">
        <v>25</v>
      </c>
    </row>
    <row r="27" spans="1:53" x14ac:dyDescent="0.3">
      <c r="A27" s="118" t="s">
        <v>206</v>
      </c>
      <c r="B27" s="213" t="s">
        <v>207</v>
      </c>
      <c r="C27" s="207" t="s">
        <v>100</v>
      </c>
      <c r="D27" s="31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128.91410116734099</v>
      </c>
      <c r="N27" s="32">
        <v>0</v>
      </c>
      <c r="O27" s="32">
        <v>0</v>
      </c>
      <c r="P27" s="32">
        <v>0</v>
      </c>
      <c r="Q27" s="32">
        <v>0</v>
      </c>
      <c r="R27" s="32">
        <v>3.5977311165096202</v>
      </c>
      <c r="S27" s="32">
        <v>10.1555671080732</v>
      </c>
      <c r="T27" s="32">
        <v>4.6922969937586299</v>
      </c>
      <c r="U27" s="32">
        <v>19.907494681230201</v>
      </c>
      <c r="V27" s="32">
        <v>0</v>
      </c>
      <c r="W27" s="32">
        <v>1.97094383119766E-2</v>
      </c>
      <c r="X27" s="32">
        <v>0</v>
      </c>
      <c r="Y27" s="32">
        <v>0</v>
      </c>
      <c r="Z27" s="32">
        <v>0</v>
      </c>
      <c r="AA27" s="32">
        <v>0</v>
      </c>
      <c r="AB27" s="33">
        <v>0</v>
      </c>
    </row>
    <row r="28" spans="1:53" x14ac:dyDescent="0.3">
      <c r="A28" s="85" t="s">
        <v>208</v>
      </c>
      <c r="B28" s="214"/>
      <c r="C28" s="208"/>
      <c r="D28" s="29">
        <v>1.9708714919452399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5">
        <v>0</v>
      </c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</row>
    <row r="29" spans="1:53" x14ac:dyDescent="0.3">
      <c r="A29" s="85" t="s">
        <v>209</v>
      </c>
      <c r="B29" s="214"/>
      <c r="C29" s="208"/>
      <c r="D29" s="29">
        <v>0</v>
      </c>
      <c r="E29" s="24">
        <v>3.4527632303383098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5">
        <v>0</v>
      </c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</row>
    <row r="30" spans="1:53" ht="15" thickBot="1" x14ac:dyDescent="0.35">
      <c r="A30" s="86" t="s">
        <v>210</v>
      </c>
      <c r="B30" s="215"/>
      <c r="C30" s="209"/>
      <c r="D30" s="34">
        <v>0.113156838655326</v>
      </c>
      <c r="E30" s="27">
        <v>1.1318051792076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8">
        <v>0</v>
      </c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</row>
    <row r="31" spans="1:53" ht="14.25" customHeight="1" x14ac:dyDescent="0.3"/>
    <row r="32" spans="1:53" ht="15" thickBot="1" x14ac:dyDescent="0.35">
      <c r="A32" s="111" t="s">
        <v>133</v>
      </c>
    </row>
    <row r="33" spans="1:53" ht="15" thickBot="1" x14ac:dyDescent="0.35">
      <c r="B33" s="167" t="s">
        <v>1</v>
      </c>
      <c r="C33" s="168" t="s">
        <v>2</v>
      </c>
      <c r="D33" s="17">
        <v>1</v>
      </c>
      <c r="E33" s="16">
        <v>2</v>
      </c>
      <c r="F33" s="16">
        <v>3</v>
      </c>
      <c r="G33" s="16">
        <v>4</v>
      </c>
      <c r="H33" s="16">
        <v>5</v>
      </c>
      <c r="I33" s="16">
        <v>6</v>
      </c>
      <c r="J33" s="16">
        <v>7</v>
      </c>
      <c r="K33" s="16">
        <v>8</v>
      </c>
      <c r="L33" s="16">
        <v>9</v>
      </c>
      <c r="M33" s="16">
        <v>10</v>
      </c>
      <c r="N33" s="16">
        <v>11</v>
      </c>
      <c r="O33" s="16">
        <v>12</v>
      </c>
      <c r="P33" s="16">
        <v>13</v>
      </c>
      <c r="Q33" s="16">
        <v>14</v>
      </c>
      <c r="R33" s="16">
        <v>15</v>
      </c>
      <c r="S33" s="16">
        <v>16</v>
      </c>
      <c r="T33" s="16">
        <v>17</v>
      </c>
      <c r="U33" s="16">
        <v>18</v>
      </c>
      <c r="V33" s="16">
        <v>19</v>
      </c>
      <c r="W33" s="16">
        <v>20</v>
      </c>
      <c r="X33" s="16">
        <v>21</v>
      </c>
      <c r="Y33" s="16">
        <v>22</v>
      </c>
      <c r="Z33" s="16">
        <v>23</v>
      </c>
      <c r="AA33" s="16">
        <v>24</v>
      </c>
      <c r="AB33" s="18">
        <v>25</v>
      </c>
    </row>
    <row r="34" spans="1:53" x14ac:dyDescent="0.3">
      <c r="A34" s="118" t="s">
        <v>206</v>
      </c>
      <c r="B34" s="213" t="s">
        <v>207</v>
      </c>
      <c r="C34" s="207" t="s">
        <v>100</v>
      </c>
      <c r="D34" s="31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149.05384690929628</v>
      </c>
      <c r="N34" s="32">
        <v>0</v>
      </c>
      <c r="O34" s="32">
        <v>0</v>
      </c>
      <c r="P34" s="32">
        <v>0</v>
      </c>
      <c r="Q34" s="32">
        <v>0</v>
      </c>
      <c r="R34" s="32">
        <v>4.1597905753144415</v>
      </c>
      <c r="S34" s="32">
        <v>11.742131631037688</v>
      </c>
      <c r="T34" s="32">
        <v>5.4253561978667193</v>
      </c>
      <c r="U34" s="32">
        <v>23.017564701567771</v>
      </c>
      <c r="V34" s="32">
        <v>0</v>
      </c>
      <c r="W34" s="32">
        <v>2.2788566760498313E-2</v>
      </c>
      <c r="X34" s="32">
        <v>0</v>
      </c>
      <c r="Y34" s="32">
        <v>0</v>
      </c>
      <c r="Z34" s="32">
        <v>0</v>
      </c>
      <c r="AA34" s="32">
        <v>0</v>
      </c>
      <c r="AB34" s="33">
        <v>0</v>
      </c>
    </row>
    <row r="35" spans="1:53" x14ac:dyDescent="0.3">
      <c r="A35" s="85" t="s">
        <v>208</v>
      </c>
      <c r="B35" s="214"/>
      <c r="C35" s="208"/>
      <c r="D35" s="29">
        <v>2.734527642622778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5">
        <v>0</v>
      </c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</row>
    <row r="36" spans="1:53" x14ac:dyDescent="0.3">
      <c r="A36" s="85" t="s">
        <v>209</v>
      </c>
      <c r="B36" s="214"/>
      <c r="C36" s="208"/>
      <c r="D36" s="29">
        <v>0</v>
      </c>
      <c r="E36" s="24">
        <v>3.9921749233688537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5">
        <v>0</v>
      </c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</row>
    <row r="37" spans="1:53" ht="15" thickBot="1" x14ac:dyDescent="0.35">
      <c r="A37" s="86" t="s">
        <v>210</v>
      </c>
      <c r="B37" s="215"/>
      <c r="C37" s="209"/>
      <c r="D37" s="34">
        <v>0.1308348889139517</v>
      </c>
      <c r="E37" s="27">
        <v>1.3086226749839569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  <c r="V37" s="27">
        <v>0</v>
      </c>
      <c r="W37" s="27">
        <v>0</v>
      </c>
      <c r="X37" s="27">
        <v>0</v>
      </c>
      <c r="Y37" s="27">
        <v>0</v>
      </c>
      <c r="Z37" s="27">
        <v>0</v>
      </c>
      <c r="AA37" s="27">
        <v>0</v>
      </c>
      <c r="AB37" s="28">
        <v>0</v>
      </c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</row>
    <row r="38" spans="1:53" ht="14.25" customHeight="1" x14ac:dyDescent="0.3"/>
    <row r="39" spans="1:53" ht="15" thickBot="1" x14ac:dyDescent="0.35">
      <c r="A39" s="111" t="s">
        <v>134</v>
      </c>
    </row>
    <row r="40" spans="1:53" ht="15" thickBot="1" x14ac:dyDescent="0.35">
      <c r="B40" s="167" t="s">
        <v>1</v>
      </c>
      <c r="C40" s="168" t="s">
        <v>2</v>
      </c>
      <c r="D40" s="17">
        <v>1</v>
      </c>
      <c r="E40" s="16">
        <v>2</v>
      </c>
      <c r="F40" s="16">
        <v>3</v>
      </c>
      <c r="G40" s="16">
        <v>4</v>
      </c>
      <c r="H40" s="16">
        <v>5</v>
      </c>
      <c r="I40" s="16">
        <v>6</v>
      </c>
      <c r="J40" s="16">
        <v>7</v>
      </c>
      <c r="K40" s="16">
        <v>8</v>
      </c>
      <c r="L40" s="16">
        <v>9</v>
      </c>
      <c r="M40" s="16">
        <v>10</v>
      </c>
      <c r="N40" s="16">
        <v>11</v>
      </c>
      <c r="O40" s="16">
        <v>12</v>
      </c>
      <c r="P40" s="16">
        <v>13</v>
      </c>
      <c r="Q40" s="16">
        <v>14</v>
      </c>
      <c r="R40" s="16">
        <v>15</v>
      </c>
      <c r="S40" s="16">
        <v>16</v>
      </c>
      <c r="T40" s="16">
        <v>17</v>
      </c>
      <c r="U40" s="16">
        <v>18</v>
      </c>
      <c r="V40" s="16">
        <v>19</v>
      </c>
      <c r="W40" s="16">
        <v>20</v>
      </c>
      <c r="X40" s="16">
        <v>21</v>
      </c>
      <c r="Y40" s="16">
        <v>22</v>
      </c>
      <c r="Z40" s="16">
        <v>23</v>
      </c>
      <c r="AA40" s="16">
        <v>24</v>
      </c>
      <c r="AB40" s="18">
        <v>25</v>
      </c>
    </row>
    <row r="41" spans="1:53" x14ac:dyDescent="0.3">
      <c r="A41" s="118" t="s">
        <v>206</v>
      </c>
      <c r="B41" s="213" t="s">
        <v>207</v>
      </c>
      <c r="C41" s="207" t="s">
        <v>100</v>
      </c>
      <c r="D41" s="31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104.157989279334</v>
      </c>
      <c r="N41" s="32">
        <v>0</v>
      </c>
      <c r="O41" s="32">
        <v>0</v>
      </c>
      <c r="P41" s="32">
        <v>0</v>
      </c>
      <c r="Q41" s="32">
        <v>0</v>
      </c>
      <c r="R41" s="32">
        <v>2.9068382408911502</v>
      </c>
      <c r="S41" s="32">
        <v>8.2053354938662402</v>
      </c>
      <c r="T41" s="32">
        <v>3.7912083747684</v>
      </c>
      <c r="U41" s="32">
        <v>16.084544660435402</v>
      </c>
      <c r="V41" s="32">
        <v>0</v>
      </c>
      <c r="W41" s="32">
        <v>1.5924522188117601E-2</v>
      </c>
      <c r="X41" s="32">
        <v>0</v>
      </c>
      <c r="Y41" s="32">
        <v>0</v>
      </c>
      <c r="Z41" s="32">
        <v>0</v>
      </c>
      <c r="AA41" s="32">
        <v>0</v>
      </c>
      <c r="AB41" s="33">
        <v>0</v>
      </c>
    </row>
    <row r="42" spans="1:53" x14ac:dyDescent="0.3">
      <c r="A42" s="85" t="s">
        <v>208</v>
      </c>
      <c r="B42" s="214"/>
      <c r="C42" s="208"/>
      <c r="D42" s="29">
        <v>1.9108725255354799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5">
        <v>0</v>
      </c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</row>
    <row r="43" spans="1:53" x14ac:dyDescent="0.3">
      <c r="A43" s="85" t="s">
        <v>209</v>
      </c>
      <c r="B43" s="214"/>
      <c r="C43" s="208"/>
      <c r="D43" s="29">
        <v>0</v>
      </c>
      <c r="E43" s="24">
        <v>2.7897093667264898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5">
        <v>0</v>
      </c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</row>
    <row r="44" spans="1:53" ht="15" thickBot="1" x14ac:dyDescent="0.35">
      <c r="A44" s="86" t="s">
        <v>210</v>
      </c>
      <c r="B44" s="215"/>
      <c r="C44" s="209"/>
      <c r="D44" s="34">
        <v>9.1426683976529602E-2</v>
      </c>
      <c r="E44" s="27">
        <v>0.91445815977240297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0</v>
      </c>
      <c r="Y44" s="27">
        <v>0</v>
      </c>
      <c r="Z44" s="27">
        <v>0</v>
      </c>
      <c r="AA44" s="27">
        <v>0</v>
      </c>
      <c r="AB44" s="28">
        <v>0</v>
      </c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</row>
    <row r="45" spans="1:53" ht="14.25" customHeight="1" x14ac:dyDescent="0.3"/>
    <row r="46" spans="1:53" x14ac:dyDescent="0.3">
      <c r="A46" s="1" t="s">
        <v>87</v>
      </c>
      <c r="B46" s="35"/>
    </row>
    <row r="47" spans="1:53" ht="15" thickBot="1" x14ac:dyDescent="0.35">
      <c r="A47" s="110" t="s">
        <v>136</v>
      </c>
      <c r="B47" s="35"/>
    </row>
    <row r="48" spans="1:53" ht="15" thickBot="1" x14ac:dyDescent="0.35">
      <c r="A48" s="36"/>
      <c r="B48" s="136" t="s">
        <v>1</v>
      </c>
      <c r="C48" s="137" t="s">
        <v>2</v>
      </c>
      <c r="D48" s="167" t="s">
        <v>88</v>
      </c>
      <c r="E48" s="168" t="s">
        <v>214</v>
      </c>
      <c r="F48" s="168" t="s">
        <v>215</v>
      </c>
      <c r="G48" s="168" t="s">
        <v>216</v>
      </c>
      <c r="H48" s="168" t="s">
        <v>217</v>
      </c>
      <c r="I48" s="168" t="s">
        <v>218</v>
      </c>
      <c r="J48" s="168" t="s">
        <v>219</v>
      </c>
      <c r="K48" s="168" t="s">
        <v>220</v>
      </c>
      <c r="L48" s="113" t="s">
        <v>89</v>
      </c>
    </row>
    <row r="49" spans="1:12" ht="14.25" customHeight="1" x14ac:dyDescent="0.3">
      <c r="A49" s="184" t="s">
        <v>33</v>
      </c>
      <c r="B49" s="216" t="s">
        <v>212</v>
      </c>
      <c r="C49" s="219" t="s">
        <v>35</v>
      </c>
      <c r="D49" s="41">
        <v>1</v>
      </c>
      <c r="E49" s="42">
        <v>1</v>
      </c>
      <c r="F49" s="42">
        <v>1</v>
      </c>
      <c r="G49" s="42">
        <v>1</v>
      </c>
      <c r="H49" s="42">
        <v>1</v>
      </c>
      <c r="I49" s="42">
        <v>1</v>
      </c>
      <c r="J49" s="42">
        <v>1</v>
      </c>
      <c r="K49" s="42">
        <v>1</v>
      </c>
      <c r="L49" s="43">
        <v>1</v>
      </c>
    </row>
    <row r="50" spans="1:12" x14ac:dyDescent="0.3">
      <c r="A50" s="120" t="s">
        <v>36</v>
      </c>
      <c r="B50" s="217"/>
      <c r="C50" s="219"/>
      <c r="D50" s="44">
        <v>10</v>
      </c>
      <c r="E50" s="45">
        <v>10</v>
      </c>
      <c r="F50" s="45">
        <v>10</v>
      </c>
      <c r="G50" s="45">
        <v>9</v>
      </c>
      <c r="H50" s="45">
        <v>10</v>
      </c>
      <c r="I50" s="45">
        <v>8</v>
      </c>
      <c r="J50" s="45">
        <v>7</v>
      </c>
      <c r="K50" s="45">
        <v>10</v>
      </c>
      <c r="L50" s="46">
        <v>1</v>
      </c>
    </row>
    <row r="51" spans="1:12" x14ac:dyDescent="0.3">
      <c r="A51" s="120" t="s">
        <v>37</v>
      </c>
      <c r="B51" s="217"/>
      <c r="C51" s="219"/>
      <c r="D51" s="44">
        <v>1</v>
      </c>
      <c r="E51" s="45">
        <v>1</v>
      </c>
      <c r="F51" s="45">
        <v>1</v>
      </c>
      <c r="G51" s="45">
        <v>1</v>
      </c>
      <c r="H51" s="45">
        <v>1</v>
      </c>
      <c r="I51" s="45">
        <v>1</v>
      </c>
      <c r="J51" s="45">
        <v>1</v>
      </c>
      <c r="K51" s="45">
        <v>1</v>
      </c>
      <c r="L51" s="46">
        <v>1</v>
      </c>
    </row>
    <row r="52" spans="1:12" ht="15" thickBot="1" x14ac:dyDescent="0.35">
      <c r="A52" s="122" t="s">
        <v>38</v>
      </c>
      <c r="B52" s="218"/>
      <c r="C52" s="220"/>
      <c r="D52" s="47">
        <v>0</v>
      </c>
      <c r="E52" s="48">
        <v>0</v>
      </c>
      <c r="F52" s="48">
        <v>0</v>
      </c>
      <c r="G52" s="48">
        <v>0</v>
      </c>
      <c r="H52" s="48">
        <v>0</v>
      </c>
      <c r="I52" s="48">
        <v>0</v>
      </c>
      <c r="J52" s="48">
        <v>0</v>
      </c>
      <c r="K52" s="48">
        <v>0</v>
      </c>
      <c r="L52" s="49">
        <v>0</v>
      </c>
    </row>
    <row r="53" spans="1:12" ht="14.25" customHeight="1" x14ac:dyDescent="0.3"/>
    <row r="54" spans="1:12" x14ac:dyDescent="0.3">
      <c r="A54" s="64" t="s">
        <v>90</v>
      </c>
    </row>
    <row r="55" spans="1:12" ht="15" thickBot="1" x14ac:dyDescent="0.35">
      <c r="A55" s="111" t="s">
        <v>149</v>
      </c>
    </row>
    <row r="56" spans="1:12" ht="15" thickBot="1" x14ac:dyDescent="0.35">
      <c r="A56" s="36"/>
      <c r="B56" s="158" t="s">
        <v>1</v>
      </c>
      <c r="C56" s="185" t="s">
        <v>2</v>
      </c>
      <c r="D56" s="136" t="s">
        <v>88</v>
      </c>
      <c r="E56" s="137" t="s">
        <v>214</v>
      </c>
      <c r="F56" s="137" t="s">
        <v>215</v>
      </c>
      <c r="G56" s="137" t="s">
        <v>216</v>
      </c>
      <c r="H56" s="137" t="s">
        <v>217</v>
      </c>
      <c r="I56" s="137" t="s">
        <v>218</v>
      </c>
      <c r="J56" s="137" t="s">
        <v>219</v>
      </c>
      <c r="K56" s="137" t="s">
        <v>220</v>
      </c>
      <c r="L56" s="148" t="s">
        <v>89</v>
      </c>
    </row>
    <row r="57" spans="1:12" ht="32.4" customHeight="1" x14ac:dyDescent="0.3">
      <c r="A57" s="186" t="s">
        <v>36</v>
      </c>
      <c r="B57" s="213" t="s">
        <v>213</v>
      </c>
      <c r="C57" s="119" t="s">
        <v>35</v>
      </c>
      <c r="D57" s="41">
        <v>9</v>
      </c>
      <c r="E57" s="42">
        <v>9</v>
      </c>
      <c r="F57" s="42">
        <v>9</v>
      </c>
      <c r="G57" s="42">
        <v>8</v>
      </c>
      <c r="H57" s="42">
        <v>9</v>
      </c>
      <c r="I57" s="42">
        <v>11</v>
      </c>
      <c r="J57" s="42">
        <v>6</v>
      </c>
      <c r="K57" s="42">
        <v>9</v>
      </c>
      <c r="L57" s="43">
        <v>5</v>
      </c>
    </row>
    <row r="58" spans="1:12" ht="32.4" customHeight="1" thickBot="1" x14ac:dyDescent="0.35">
      <c r="A58" s="187" t="s">
        <v>91</v>
      </c>
      <c r="B58" s="215"/>
      <c r="C58" s="123" t="s">
        <v>35</v>
      </c>
      <c r="D58" s="47">
        <v>-1</v>
      </c>
      <c r="E58" s="48">
        <v>-1</v>
      </c>
      <c r="F58" s="48">
        <v>-1</v>
      </c>
      <c r="G58" s="87">
        <v>-1</v>
      </c>
      <c r="H58" s="48">
        <v>-1</v>
      </c>
      <c r="I58" s="88">
        <v>5550000</v>
      </c>
      <c r="J58" s="48">
        <v>-1</v>
      </c>
      <c r="K58" s="48">
        <v>-1</v>
      </c>
      <c r="L58" s="49">
        <v>-1</v>
      </c>
    </row>
    <row r="59" spans="1:12" ht="14.25" customHeight="1" x14ac:dyDescent="0.3"/>
    <row r="60" spans="1:12" ht="15" thickBot="1" x14ac:dyDescent="0.35">
      <c r="A60" s="111" t="s">
        <v>147</v>
      </c>
    </row>
    <row r="61" spans="1:12" ht="15" thickBot="1" x14ac:dyDescent="0.35">
      <c r="A61" s="36"/>
      <c r="B61" s="158" t="s">
        <v>1</v>
      </c>
      <c r="C61" s="185" t="s">
        <v>2</v>
      </c>
      <c r="D61" s="136" t="s">
        <v>88</v>
      </c>
      <c r="E61" s="137" t="s">
        <v>214</v>
      </c>
      <c r="F61" s="137" t="s">
        <v>215</v>
      </c>
      <c r="G61" s="137" t="s">
        <v>216</v>
      </c>
      <c r="H61" s="137" t="s">
        <v>217</v>
      </c>
      <c r="I61" s="137" t="s">
        <v>218</v>
      </c>
      <c r="J61" s="137" t="s">
        <v>219</v>
      </c>
      <c r="K61" s="137" t="s">
        <v>220</v>
      </c>
      <c r="L61" s="148" t="s">
        <v>89</v>
      </c>
    </row>
    <row r="62" spans="1:12" ht="29.4" customHeight="1" x14ac:dyDescent="0.3">
      <c r="A62" s="186" t="s">
        <v>36</v>
      </c>
      <c r="B62" s="213" t="s">
        <v>213</v>
      </c>
      <c r="C62" s="119" t="s">
        <v>35</v>
      </c>
      <c r="D62" s="41">
        <v>9</v>
      </c>
      <c r="E62" s="42">
        <v>9</v>
      </c>
      <c r="F62" s="42">
        <v>9</v>
      </c>
      <c r="G62" s="42">
        <v>8</v>
      </c>
      <c r="H62" s="42">
        <v>9</v>
      </c>
      <c r="I62" s="42">
        <v>9</v>
      </c>
      <c r="J62" s="42">
        <v>6</v>
      </c>
      <c r="K62" s="42">
        <v>9</v>
      </c>
      <c r="L62" s="43">
        <v>5</v>
      </c>
    </row>
    <row r="63" spans="1:12" ht="29.4" customHeight="1" thickBot="1" x14ac:dyDescent="0.35">
      <c r="A63" s="187" t="s">
        <v>91</v>
      </c>
      <c r="B63" s="215"/>
      <c r="C63" s="123" t="s">
        <v>35</v>
      </c>
      <c r="D63" s="47">
        <v>-1</v>
      </c>
      <c r="E63" s="48">
        <v>-1</v>
      </c>
      <c r="F63" s="48">
        <v>-1</v>
      </c>
      <c r="G63" s="87">
        <v>-1</v>
      </c>
      <c r="H63" s="48">
        <v>-1</v>
      </c>
      <c r="I63" s="88">
        <v>-1</v>
      </c>
      <c r="J63" s="48">
        <v>-1</v>
      </c>
      <c r="K63" s="48">
        <v>-1</v>
      </c>
      <c r="L63" s="49">
        <v>-1</v>
      </c>
    </row>
    <row r="64" spans="1:12" ht="14.25" customHeight="1" x14ac:dyDescent="0.3"/>
    <row r="65" spans="1:4" x14ac:dyDescent="0.3">
      <c r="A65" s="1" t="s">
        <v>92</v>
      </c>
    </row>
    <row r="66" spans="1:4" ht="15" thickBot="1" x14ac:dyDescent="0.35">
      <c r="A66" s="110" t="s">
        <v>136</v>
      </c>
    </row>
    <row r="67" spans="1:4" ht="15" thickBot="1" x14ac:dyDescent="0.35">
      <c r="B67" s="167" t="s">
        <v>1</v>
      </c>
      <c r="C67" s="113" t="s">
        <v>2</v>
      </c>
      <c r="D67" s="3" t="s">
        <v>3</v>
      </c>
    </row>
    <row r="68" spans="1:4" ht="29.4" thickBot="1" x14ac:dyDescent="0.35">
      <c r="A68" s="157" t="s">
        <v>93</v>
      </c>
      <c r="B68" s="180" t="s">
        <v>221</v>
      </c>
      <c r="C68" s="80" t="s">
        <v>135</v>
      </c>
      <c r="D68" s="77">
        <v>7.0000000000000001E-3</v>
      </c>
    </row>
    <row r="69" spans="1:4" ht="14.25" customHeight="1" x14ac:dyDescent="0.3"/>
    <row r="70" spans="1:4" x14ac:dyDescent="0.3">
      <c r="A70" s="1" t="s">
        <v>94</v>
      </c>
    </row>
    <row r="71" spans="1:4" ht="15" thickBot="1" x14ac:dyDescent="0.35">
      <c r="A71" s="110" t="s">
        <v>137</v>
      </c>
    </row>
    <row r="72" spans="1:4" ht="15" thickBot="1" x14ac:dyDescent="0.35">
      <c r="B72" s="167" t="s">
        <v>1</v>
      </c>
      <c r="C72" s="113" t="s">
        <v>2</v>
      </c>
      <c r="D72" s="3" t="s">
        <v>3</v>
      </c>
    </row>
    <row r="73" spans="1:4" ht="29.4" thickBot="1" x14ac:dyDescent="0.35">
      <c r="A73" s="15" t="s">
        <v>95</v>
      </c>
      <c r="B73" s="180" t="s">
        <v>222</v>
      </c>
      <c r="C73" s="80" t="s">
        <v>135</v>
      </c>
      <c r="D73" s="77">
        <v>0.03</v>
      </c>
    </row>
    <row r="74" spans="1:4" ht="14.25" customHeight="1" x14ac:dyDescent="0.3"/>
    <row r="75" spans="1:4" ht="15" thickBot="1" x14ac:dyDescent="0.35">
      <c r="A75" s="110" t="s">
        <v>150</v>
      </c>
    </row>
    <row r="76" spans="1:4" ht="15" thickBot="1" x14ac:dyDescent="0.35">
      <c r="B76" s="167" t="s">
        <v>1</v>
      </c>
      <c r="C76" s="113" t="s">
        <v>2</v>
      </c>
      <c r="D76" s="3" t="s">
        <v>3</v>
      </c>
    </row>
    <row r="77" spans="1:4" ht="29.4" thickBot="1" x14ac:dyDescent="0.35">
      <c r="A77" s="15" t="s">
        <v>95</v>
      </c>
      <c r="B77" s="180" t="s">
        <v>222</v>
      </c>
      <c r="C77" s="80" t="s">
        <v>135</v>
      </c>
      <c r="D77" s="77">
        <v>0.02</v>
      </c>
    </row>
    <row r="78" spans="1:4" ht="14.25" customHeight="1" x14ac:dyDescent="0.3"/>
    <row r="79" spans="1:4" ht="15" thickBot="1" x14ac:dyDescent="0.35">
      <c r="A79" s="110" t="s">
        <v>134</v>
      </c>
    </row>
    <row r="80" spans="1:4" ht="15" thickBot="1" x14ac:dyDescent="0.35">
      <c r="B80" s="167" t="s">
        <v>1</v>
      </c>
      <c r="C80" s="113" t="s">
        <v>2</v>
      </c>
      <c r="D80" s="3" t="s">
        <v>3</v>
      </c>
    </row>
    <row r="81" spans="1:5" ht="29.4" thickBot="1" x14ac:dyDescent="0.35">
      <c r="A81" s="15" t="s">
        <v>95</v>
      </c>
      <c r="B81" s="180" t="s">
        <v>222</v>
      </c>
      <c r="C81" s="80" t="s">
        <v>135</v>
      </c>
      <c r="D81" s="77">
        <v>1.4999999999999999E-2</v>
      </c>
    </row>
    <row r="82" spans="1:5" ht="14.25" customHeight="1" x14ac:dyDescent="0.3"/>
    <row r="83" spans="1:5" x14ac:dyDescent="0.3">
      <c r="A83" s="112" t="s">
        <v>96</v>
      </c>
    </row>
    <row r="84" spans="1:5" ht="15" thickBot="1" x14ac:dyDescent="0.35">
      <c r="A84" s="110" t="s">
        <v>136</v>
      </c>
    </row>
    <row r="85" spans="1:5" ht="15" thickBot="1" x14ac:dyDescent="0.35">
      <c r="B85" s="136" t="s">
        <v>1</v>
      </c>
      <c r="C85" s="148" t="s">
        <v>2</v>
      </c>
      <c r="D85" s="114" t="s">
        <v>3</v>
      </c>
    </row>
    <row r="86" spans="1:5" ht="72.599999999999994" thickBot="1" x14ac:dyDescent="0.35">
      <c r="A86" s="115" t="s">
        <v>223</v>
      </c>
      <c r="B86" s="125" t="s">
        <v>224</v>
      </c>
      <c r="C86" s="116" t="s">
        <v>97</v>
      </c>
      <c r="D86" s="116">
        <v>750000</v>
      </c>
    </row>
    <row r="87" spans="1:5" x14ac:dyDescent="0.3">
      <c r="A87" s="117"/>
      <c r="C87" s="61"/>
      <c r="D87" s="56"/>
      <c r="E87" s="84"/>
    </row>
    <row r="88" spans="1:5" x14ac:dyDescent="0.3">
      <c r="A88" s="117" t="s">
        <v>98</v>
      </c>
      <c r="C88" s="61"/>
      <c r="D88" s="56"/>
      <c r="E88" s="84"/>
    </row>
    <row r="89" spans="1:5" ht="15" thickBot="1" x14ac:dyDescent="0.35">
      <c r="A89" s="110" t="s">
        <v>143</v>
      </c>
    </row>
    <row r="90" spans="1:5" ht="15" thickBot="1" x14ac:dyDescent="0.35">
      <c r="A90" s="117"/>
      <c r="B90" s="136" t="s">
        <v>1</v>
      </c>
      <c r="C90" s="148" t="s">
        <v>2</v>
      </c>
      <c r="D90" s="114" t="s">
        <v>3</v>
      </c>
    </row>
    <row r="91" spans="1:5" ht="28.8" x14ac:dyDescent="0.3">
      <c r="A91" s="118" t="s">
        <v>138</v>
      </c>
      <c r="B91" s="195" t="s">
        <v>225</v>
      </c>
      <c r="C91" s="210" t="s">
        <v>97</v>
      </c>
      <c r="D91" s="119">
        <v>215000</v>
      </c>
    </row>
    <row r="92" spans="1:5" ht="43.2" x14ac:dyDescent="0.3">
      <c r="A92" s="85" t="s">
        <v>139</v>
      </c>
      <c r="B92" s="193"/>
      <c r="C92" s="211"/>
      <c r="D92" s="121">
        <v>3640000</v>
      </c>
    </row>
    <row r="93" spans="1:5" ht="15" thickBot="1" x14ac:dyDescent="0.35">
      <c r="A93" s="86" t="s">
        <v>226</v>
      </c>
      <c r="B93" s="194"/>
      <c r="C93" s="212"/>
      <c r="D93" s="123">
        <f>D91+D92</f>
        <v>3855000</v>
      </c>
    </row>
    <row r="95" spans="1:5" x14ac:dyDescent="0.3">
      <c r="A95" s="112" t="s">
        <v>99</v>
      </c>
    </row>
    <row r="96" spans="1:5" ht="15" thickBot="1" x14ac:dyDescent="0.35">
      <c r="A96" s="110" t="s">
        <v>136</v>
      </c>
    </row>
    <row r="97" spans="1:4" ht="15" thickBot="1" x14ac:dyDescent="0.35">
      <c r="A97" s="112"/>
      <c r="B97" s="136" t="s">
        <v>1</v>
      </c>
      <c r="C97" s="148" t="s">
        <v>2</v>
      </c>
      <c r="D97" s="114" t="s">
        <v>3</v>
      </c>
    </row>
    <row r="98" spans="1:4" ht="72.599999999999994" thickBot="1" x14ac:dyDescent="0.35">
      <c r="A98" s="124" t="s">
        <v>227</v>
      </c>
      <c r="B98" s="125" t="s">
        <v>228</v>
      </c>
      <c r="C98" s="116" t="s">
        <v>35</v>
      </c>
      <c r="D98" s="126">
        <v>2.3333333333333335E-3</v>
      </c>
    </row>
  </sheetData>
  <mergeCells count="18">
    <mergeCell ref="B91:B93"/>
    <mergeCell ref="B41:B44"/>
    <mergeCell ref="B49:B52"/>
    <mergeCell ref="C49:C52"/>
    <mergeCell ref="B57:B58"/>
    <mergeCell ref="B62:B63"/>
    <mergeCell ref="B6:B9"/>
    <mergeCell ref="B13:B16"/>
    <mergeCell ref="B20:B23"/>
    <mergeCell ref="B27:B30"/>
    <mergeCell ref="B34:B37"/>
    <mergeCell ref="C6:C9"/>
    <mergeCell ref="C20:C23"/>
    <mergeCell ref="C91:C93"/>
    <mergeCell ref="C13:C16"/>
    <mergeCell ref="C27:C30"/>
    <mergeCell ref="C34:C37"/>
    <mergeCell ref="C41:C44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3383-73D2-45EF-97D2-A8D9706790EB}">
  <dimension ref="A1:AB29"/>
  <sheetViews>
    <sheetView workbookViewId="0"/>
  </sheetViews>
  <sheetFormatPr baseColWidth="10" defaultRowHeight="14.4" x14ac:dyDescent="0.3"/>
  <cols>
    <col min="3" max="3" width="14.109375" customWidth="1"/>
  </cols>
  <sheetData>
    <row r="1" spans="1:28" ht="25.8" x14ac:dyDescent="0.5">
      <c r="A1" s="166" t="s">
        <v>180</v>
      </c>
    </row>
    <row r="3" spans="1:28" x14ac:dyDescent="0.3">
      <c r="A3" s="1" t="s">
        <v>162</v>
      </c>
    </row>
    <row r="4" spans="1:28" ht="15" thickBot="1" x14ac:dyDescent="0.35">
      <c r="A4" s="110" t="s">
        <v>146</v>
      </c>
    </row>
    <row r="5" spans="1:28" ht="15" thickBot="1" x14ac:dyDescent="0.35">
      <c r="A5" s="112"/>
      <c r="B5" s="136" t="s">
        <v>1</v>
      </c>
      <c r="C5" s="148" t="s">
        <v>2</v>
      </c>
      <c r="D5" s="167">
        <v>1</v>
      </c>
      <c r="E5" s="168">
        <v>2</v>
      </c>
      <c r="F5" s="168">
        <v>3</v>
      </c>
      <c r="G5" s="168">
        <v>4</v>
      </c>
      <c r="H5" s="168">
        <v>5</v>
      </c>
      <c r="I5" s="168">
        <v>6</v>
      </c>
      <c r="J5" s="168">
        <v>7</v>
      </c>
      <c r="K5" s="168">
        <v>8</v>
      </c>
      <c r="L5" s="168">
        <v>9</v>
      </c>
      <c r="M5" s="168">
        <v>10</v>
      </c>
      <c r="N5" s="168">
        <v>11</v>
      </c>
      <c r="O5" s="168">
        <v>12</v>
      </c>
      <c r="P5" s="168">
        <v>13</v>
      </c>
      <c r="Q5" s="168">
        <v>14</v>
      </c>
      <c r="R5" s="168">
        <v>15</v>
      </c>
      <c r="S5" s="168">
        <v>16</v>
      </c>
      <c r="T5" s="168">
        <v>17</v>
      </c>
      <c r="U5" s="168">
        <v>18</v>
      </c>
      <c r="V5" s="168">
        <v>19</v>
      </c>
      <c r="W5" s="168">
        <v>20</v>
      </c>
      <c r="X5" s="168">
        <v>21</v>
      </c>
      <c r="Y5" s="168">
        <v>22</v>
      </c>
      <c r="Z5" s="168">
        <v>23</v>
      </c>
      <c r="AA5" s="168">
        <v>24</v>
      </c>
      <c r="AB5" s="113">
        <v>25</v>
      </c>
    </row>
    <row r="6" spans="1:28" x14ac:dyDescent="0.3">
      <c r="A6" s="118" t="s">
        <v>151</v>
      </c>
      <c r="B6" s="221" t="s">
        <v>181</v>
      </c>
      <c r="C6" s="169" t="s">
        <v>152</v>
      </c>
      <c r="D6" s="31">
        <v>7.4026305863457756E-6</v>
      </c>
      <c r="E6" s="32">
        <v>0</v>
      </c>
      <c r="F6" s="32">
        <v>0</v>
      </c>
      <c r="G6" s="32">
        <v>0</v>
      </c>
      <c r="H6" s="32">
        <v>8.7669817975493603E-5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1.28747763120076E-5</v>
      </c>
      <c r="AB6" s="33">
        <v>4.129149684609344E-7</v>
      </c>
    </row>
    <row r="7" spans="1:28" x14ac:dyDescent="0.3">
      <c r="A7" s="85" t="s">
        <v>153</v>
      </c>
      <c r="B7" s="222"/>
      <c r="C7" s="97" t="s">
        <v>154</v>
      </c>
      <c r="D7" s="29">
        <v>1.1879159307235361E-5</v>
      </c>
      <c r="E7" s="24">
        <v>0</v>
      </c>
      <c r="F7" s="24">
        <v>1.9125088037267361E-5</v>
      </c>
      <c r="G7" s="24">
        <v>0</v>
      </c>
      <c r="H7" s="24">
        <v>0</v>
      </c>
      <c r="I7" s="24">
        <v>0</v>
      </c>
      <c r="J7" s="24">
        <v>0</v>
      </c>
      <c r="K7" s="24">
        <v>1.9125088037267361E-5</v>
      </c>
      <c r="L7" s="24">
        <v>0</v>
      </c>
      <c r="M7" s="24">
        <v>7.349093532037912E-5</v>
      </c>
      <c r="N7" s="24">
        <v>0</v>
      </c>
      <c r="O7" s="24">
        <v>0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5.655939858673336E-5</v>
      </c>
      <c r="AB7" s="25">
        <v>1.3005033390711281E-4</v>
      </c>
    </row>
    <row r="8" spans="1:28" x14ac:dyDescent="0.3">
      <c r="A8" s="85" t="s">
        <v>155</v>
      </c>
      <c r="B8" s="222"/>
      <c r="C8" s="97" t="s">
        <v>156</v>
      </c>
      <c r="D8" s="29">
        <v>6.4743592900117445E-7</v>
      </c>
      <c r="E8" s="24">
        <v>0</v>
      </c>
      <c r="F8" s="24">
        <v>1.5508545201860239E-7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5">
        <v>0</v>
      </c>
    </row>
    <row r="9" spans="1:28" x14ac:dyDescent="0.3">
      <c r="A9" s="85" t="s">
        <v>157</v>
      </c>
      <c r="B9" s="222"/>
      <c r="C9" s="97" t="s">
        <v>158</v>
      </c>
      <c r="D9" s="29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4">
        <v>3.3789918894273838E-3</v>
      </c>
      <c r="P9" s="24">
        <v>3.3789918894273838E-3</v>
      </c>
      <c r="Q9" s="24">
        <v>3.3789918894273838E-3</v>
      </c>
      <c r="R9" s="24">
        <v>3.3789918894273838E-3</v>
      </c>
      <c r="S9" s="24">
        <v>3.3789918894273838E-3</v>
      </c>
      <c r="T9" s="24">
        <v>3.3789918894273838E-3</v>
      </c>
      <c r="U9" s="24">
        <v>3.3789918894273838E-3</v>
      </c>
      <c r="V9" s="24">
        <v>3.3789918894273838E-3</v>
      </c>
      <c r="W9" s="24">
        <v>3.3789918894273838E-3</v>
      </c>
      <c r="X9" s="24">
        <v>0</v>
      </c>
      <c r="Y9" s="24">
        <v>0</v>
      </c>
      <c r="Z9" s="24">
        <v>0</v>
      </c>
      <c r="AA9" s="24">
        <v>0</v>
      </c>
      <c r="AB9" s="25">
        <v>0</v>
      </c>
    </row>
    <row r="10" spans="1:28" x14ac:dyDescent="0.3">
      <c r="A10" s="85" t="s">
        <v>159</v>
      </c>
      <c r="B10" s="222"/>
      <c r="C10" s="97" t="s">
        <v>160</v>
      </c>
      <c r="D10" s="29">
        <v>0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2.8574375289377681E-2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5">
        <v>0</v>
      </c>
    </row>
    <row r="11" spans="1:28" ht="15" thickBot="1" x14ac:dyDescent="0.35">
      <c r="A11" s="86" t="s">
        <v>161</v>
      </c>
      <c r="B11" s="223"/>
      <c r="C11" s="100" t="s">
        <v>160</v>
      </c>
      <c r="D11" s="34">
        <v>0</v>
      </c>
      <c r="E11" s="27">
        <v>0</v>
      </c>
      <c r="F11" s="27">
        <v>0</v>
      </c>
      <c r="G11" s="27">
        <v>5.5263191494558407E-4</v>
      </c>
      <c r="H11" s="27">
        <v>5.5263191494558407E-4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27">
        <v>0</v>
      </c>
      <c r="AA11" s="27">
        <v>5.5263191494558407E-4</v>
      </c>
      <c r="AB11" s="28">
        <v>0</v>
      </c>
    </row>
    <row r="13" spans="1:28" ht="15" thickBot="1" x14ac:dyDescent="0.35">
      <c r="A13" s="110" t="s">
        <v>147</v>
      </c>
    </row>
    <row r="14" spans="1:28" ht="15" thickBot="1" x14ac:dyDescent="0.35">
      <c r="A14" s="112"/>
      <c r="B14" s="136" t="s">
        <v>1</v>
      </c>
      <c r="C14" s="148" t="s">
        <v>2</v>
      </c>
      <c r="D14" s="136">
        <v>1</v>
      </c>
      <c r="E14" s="137">
        <v>2</v>
      </c>
      <c r="F14" s="137">
        <v>3</v>
      </c>
      <c r="G14" s="137">
        <v>4</v>
      </c>
      <c r="H14" s="137">
        <v>5</v>
      </c>
      <c r="I14" s="137">
        <v>6</v>
      </c>
      <c r="J14" s="137">
        <v>7</v>
      </c>
      <c r="K14" s="137">
        <v>8</v>
      </c>
      <c r="L14" s="137">
        <v>9</v>
      </c>
      <c r="M14" s="137">
        <v>10</v>
      </c>
      <c r="N14" s="137">
        <v>11</v>
      </c>
      <c r="O14" s="137">
        <v>12</v>
      </c>
      <c r="P14" s="137">
        <v>13</v>
      </c>
      <c r="Q14" s="137">
        <v>14</v>
      </c>
      <c r="R14" s="137">
        <v>15</v>
      </c>
      <c r="S14" s="137">
        <v>16</v>
      </c>
      <c r="T14" s="137">
        <v>17</v>
      </c>
      <c r="U14" s="137">
        <v>18</v>
      </c>
      <c r="V14" s="137">
        <v>19</v>
      </c>
      <c r="W14" s="137">
        <v>20</v>
      </c>
      <c r="X14" s="137">
        <v>21</v>
      </c>
      <c r="Y14" s="137">
        <v>22</v>
      </c>
      <c r="Z14" s="137">
        <v>23</v>
      </c>
      <c r="AA14" s="137">
        <v>24</v>
      </c>
      <c r="AB14" s="148">
        <v>25</v>
      </c>
    </row>
    <row r="15" spans="1:28" x14ac:dyDescent="0.3">
      <c r="A15" s="118" t="s">
        <v>151</v>
      </c>
      <c r="B15" s="221" t="s">
        <v>181</v>
      </c>
      <c r="C15" s="169" t="s">
        <v>152</v>
      </c>
      <c r="D15" s="31">
        <v>8.327959409639001E-6</v>
      </c>
      <c r="E15" s="32">
        <v>0</v>
      </c>
      <c r="F15" s="32">
        <v>0</v>
      </c>
      <c r="G15" s="32">
        <v>0</v>
      </c>
      <c r="H15" s="32">
        <v>9.8628545222430577E-5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1.4484123351008541E-5</v>
      </c>
      <c r="AB15" s="33">
        <v>4.6452933951855079E-7</v>
      </c>
    </row>
    <row r="16" spans="1:28" x14ac:dyDescent="0.3">
      <c r="A16" s="85" t="s">
        <v>153</v>
      </c>
      <c r="B16" s="222"/>
      <c r="C16" s="97" t="s">
        <v>154</v>
      </c>
      <c r="D16" s="29">
        <v>1.3364054220639762E-5</v>
      </c>
      <c r="E16" s="24">
        <v>0</v>
      </c>
      <c r="F16" s="24">
        <v>2.1515724041925753E-5</v>
      </c>
      <c r="G16" s="24">
        <v>0</v>
      </c>
      <c r="H16" s="24">
        <v>0</v>
      </c>
      <c r="I16" s="24">
        <v>0</v>
      </c>
      <c r="J16" s="24">
        <v>0</v>
      </c>
      <c r="K16" s="24">
        <v>2.1515724041925753E-5</v>
      </c>
      <c r="L16" s="24">
        <v>0</v>
      </c>
      <c r="M16" s="24">
        <v>8.26773022354265E-5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6.3629323410074989E-5</v>
      </c>
      <c r="AB16" s="25">
        <v>1.4630662564550149E-4</v>
      </c>
    </row>
    <row r="17" spans="1:28" x14ac:dyDescent="0.3">
      <c r="A17" s="85" t="s">
        <v>155</v>
      </c>
      <c r="B17" s="222"/>
      <c r="C17" s="97" t="s">
        <v>156</v>
      </c>
      <c r="D17" s="29">
        <v>7.2836542012632132E-7</v>
      </c>
      <c r="E17" s="24">
        <v>0</v>
      </c>
      <c r="F17" s="24">
        <v>1.7447113352092755E-7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5">
        <v>0</v>
      </c>
    </row>
    <row r="18" spans="1:28" x14ac:dyDescent="0.3">
      <c r="A18" s="85" t="s">
        <v>157</v>
      </c>
      <c r="B18" s="222"/>
      <c r="C18" s="97" t="s">
        <v>158</v>
      </c>
      <c r="D18" s="29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3.8013658756058059E-3</v>
      </c>
      <c r="P18" s="24">
        <v>3.8013658756058059E-3</v>
      </c>
      <c r="Q18" s="24">
        <v>3.8013658756058059E-3</v>
      </c>
      <c r="R18" s="24">
        <v>3.8013658756058059E-3</v>
      </c>
      <c r="S18" s="24">
        <v>3.8013658756058059E-3</v>
      </c>
      <c r="T18" s="24">
        <v>3.8013658756058059E-3</v>
      </c>
      <c r="U18" s="24">
        <v>3.8013658756058059E-3</v>
      </c>
      <c r="V18" s="24">
        <v>3.8013658756058059E-3</v>
      </c>
      <c r="W18" s="24">
        <v>3.8013658756058059E-3</v>
      </c>
      <c r="X18" s="24">
        <v>0</v>
      </c>
      <c r="Y18" s="24">
        <v>0</v>
      </c>
      <c r="Z18" s="24">
        <v>0</v>
      </c>
      <c r="AA18" s="24">
        <v>0</v>
      </c>
      <c r="AB18" s="25">
        <v>0</v>
      </c>
    </row>
    <row r="19" spans="1:28" x14ac:dyDescent="0.3">
      <c r="A19" s="85" t="s">
        <v>159</v>
      </c>
      <c r="B19" s="222"/>
      <c r="C19" s="97" t="s">
        <v>160</v>
      </c>
      <c r="D19" s="29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3.2146172200549897E-2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5">
        <v>0</v>
      </c>
    </row>
    <row r="20" spans="1:28" ht="15" thickBot="1" x14ac:dyDescent="0.35">
      <c r="A20" s="86" t="s">
        <v>161</v>
      </c>
      <c r="B20" s="223"/>
      <c r="C20" s="100" t="s">
        <v>160</v>
      </c>
      <c r="D20" s="34">
        <v>0</v>
      </c>
      <c r="E20" s="27">
        <v>0</v>
      </c>
      <c r="F20" s="27">
        <v>0</v>
      </c>
      <c r="G20" s="27">
        <v>6.2171090431378188E-4</v>
      </c>
      <c r="H20" s="27">
        <v>6.2171090431378188E-4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  <c r="Z20" s="27">
        <v>0</v>
      </c>
      <c r="AA20" s="27">
        <v>6.2171090431378188E-4</v>
      </c>
      <c r="AB20" s="28">
        <v>0</v>
      </c>
    </row>
    <row r="22" spans="1:28" ht="15" thickBot="1" x14ac:dyDescent="0.35">
      <c r="A22" s="110" t="s">
        <v>148</v>
      </c>
    </row>
    <row r="23" spans="1:28" ht="15" thickBot="1" x14ac:dyDescent="0.35">
      <c r="A23" s="112"/>
      <c r="B23" s="136" t="s">
        <v>1</v>
      </c>
      <c r="C23" s="148" t="s">
        <v>2</v>
      </c>
      <c r="D23" s="136">
        <v>1</v>
      </c>
      <c r="E23" s="137">
        <v>2</v>
      </c>
      <c r="F23" s="137">
        <v>3</v>
      </c>
      <c r="G23" s="137">
        <v>4</v>
      </c>
      <c r="H23" s="137">
        <v>5</v>
      </c>
      <c r="I23" s="137">
        <v>6</v>
      </c>
      <c r="J23" s="137">
        <v>7</v>
      </c>
      <c r="K23" s="137">
        <v>8</v>
      </c>
      <c r="L23" s="137">
        <v>9</v>
      </c>
      <c r="M23" s="137">
        <v>10</v>
      </c>
      <c r="N23" s="137">
        <v>11</v>
      </c>
      <c r="O23" s="137">
        <v>12</v>
      </c>
      <c r="P23" s="137">
        <v>13</v>
      </c>
      <c r="Q23" s="137">
        <v>14</v>
      </c>
      <c r="R23" s="137">
        <v>15</v>
      </c>
      <c r="S23" s="137">
        <v>16</v>
      </c>
      <c r="T23" s="137">
        <v>17</v>
      </c>
      <c r="U23" s="137">
        <v>18</v>
      </c>
      <c r="V23" s="137">
        <v>19</v>
      </c>
      <c r="W23" s="137">
        <v>20</v>
      </c>
      <c r="X23" s="137">
        <v>21</v>
      </c>
      <c r="Y23" s="137">
        <v>22</v>
      </c>
      <c r="Z23" s="137">
        <v>23</v>
      </c>
      <c r="AA23" s="137">
        <v>24</v>
      </c>
      <c r="AB23" s="148">
        <v>25</v>
      </c>
    </row>
    <row r="24" spans="1:28" x14ac:dyDescent="0.3">
      <c r="A24" s="118" t="s">
        <v>151</v>
      </c>
      <c r="B24" s="221" t="s">
        <v>181</v>
      </c>
      <c r="C24" s="169" t="s">
        <v>152</v>
      </c>
      <c r="D24" s="31">
        <v>8.7906238212856086E-6</v>
      </c>
      <c r="E24" s="32">
        <v>0</v>
      </c>
      <c r="F24" s="32">
        <v>0</v>
      </c>
      <c r="G24" s="32">
        <v>0</v>
      </c>
      <c r="H24" s="32">
        <v>1.0410790884589864E-4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32">
        <v>1.5288796870509022E-5</v>
      </c>
      <c r="AB24" s="33">
        <v>4.9033652504735955E-7</v>
      </c>
    </row>
    <row r="25" spans="1:28" x14ac:dyDescent="0.3">
      <c r="A25" s="85" t="s">
        <v>153</v>
      </c>
      <c r="B25" s="222"/>
      <c r="C25" s="97" t="s">
        <v>154</v>
      </c>
      <c r="D25" s="29">
        <v>1.4106501677341991E-5</v>
      </c>
      <c r="E25" s="24">
        <v>0</v>
      </c>
      <c r="F25" s="24">
        <v>2.2711042044254989E-5</v>
      </c>
      <c r="G25" s="24">
        <v>0</v>
      </c>
      <c r="H25" s="24">
        <v>0</v>
      </c>
      <c r="I25" s="24">
        <v>0</v>
      </c>
      <c r="J25" s="24">
        <v>0</v>
      </c>
      <c r="K25" s="24">
        <v>2.2711042044254989E-5</v>
      </c>
      <c r="L25" s="24">
        <v>0</v>
      </c>
      <c r="M25" s="24">
        <v>8.7270485692950197E-5</v>
      </c>
      <c r="N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6.7164285821745865E-5</v>
      </c>
      <c r="AB25" s="25">
        <v>1.5443477151469645E-4</v>
      </c>
    </row>
    <row r="26" spans="1:28" x14ac:dyDescent="0.3">
      <c r="A26" s="85" t="s">
        <v>155</v>
      </c>
      <c r="B26" s="222"/>
      <c r="C26" s="97" t="s">
        <v>156</v>
      </c>
      <c r="D26" s="29">
        <v>7.6883016568889454E-7</v>
      </c>
      <c r="E26" s="24">
        <v>0</v>
      </c>
      <c r="F26" s="24">
        <v>1.8416397427209032E-7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5">
        <v>0</v>
      </c>
    </row>
    <row r="27" spans="1:28" x14ac:dyDescent="0.3">
      <c r="A27" s="85" t="s">
        <v>157</v>
      </c>
      <c r="B27" s="222"/>
      <c r="C27" s="97" t="s">
        <v>158</v>
      </c>
      <c r="D27" s="29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4.0125528686950178E-3</v>
      </c>
      <c r="P27" s="24">
        <v>4.0125528686950178E-3</v>
      </c>
      <c r="Q27" s="24">
        <v>4.0125528686950178E-3</v>
      </c>
      <c r="R27" s="24">
        <v>4.0125528686950178E-3</v>
      </c>
      <c r="S27" s="24">
        <v>4.0125528686950178E-3</v>
      </c>
      <c r="T27" s="24">
        <v>4.0125528686950178E-3</v>
      </c>
      <c r="U27" s="24">
        <v>4.0125528686950178E-3</v>
      </c>
      <c r="V27" s="24">
        <v>4.0125528686950178E-3</v>
      </c>
      <c r="W27" s="24">
        <v>4.0125528686950178E-3</v>
      </c>
      <c r="X27" s="24">
        <v>0</v>
      </c>
      <c r="Y27" s="24">
        <v>0</v>
      </c>
      <c r="Z27" s="24">
        <v>0</v>
      </c>
      <c r="AA27" s="24">
        <v>0</v>
      </c>
      <c r="AB27" s="25">
        <v>0</v>
      </c>
    </row>
    <row r="28" spans="1:28" x14ac:dyDescent="0.3">
      <c r="A28" s="85" t="s">
        <v>159</v>
      </c>
      <c r="B28" s="222"/>
      <c r="C28" s="97" t="s">
        <v>160</v>
      </c>
      <c r="D28" s="29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3.3932070656135994E-2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5">
        <v>0</v>
      </c>
    </row>
    <row r="29" spans="1:28" ht="15" thickBot="1" x14ac:dyDescent="0.35">
      <c r="A29" s="86" t="s">
        <v>161</v>
      </c>
      <c r="B29" s="223"/>
      <c r="C29" s="100" t="s">
        <v>160</v>
      </c>
      <c r="D29" s="34">
        <v>0</v>
      </c>
      <c r="E29" s="27">
        <v>0</v>
      </c>
      <c r="F29" s="27">
        <v>0</v>
      </c>
      <c r="G29" s="27">
        <v>6.56250398997881E-4</v>
      </c>
      <c r="H29" s="27">
        <v>6.56250398997881E-4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6.56250398997881E-4</v>
      </c>
      <c r="AB29" s="28">
        <v>0</v>
      </c>
    </row>
  </sheetData>
  <mergeCells count="3">
    <mergeCell ref="B6:B11"/>
    <mergeCell ref="B15:B20"/>
    <mergeCell ref="B24:B29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E49DF-4389-4BB7-A443-CB829BE9049F}">
  <dimension ref="A1:D9"/>
  <sheetViews>
    <sheetView workbookViewId="0"/>
  </sheetViews>
  <sheetFormatPr baseColWidth="10" defaultRowHeight="14.4" x14ac:dyDescent="0.3"/>
  <cols>
    <col min="1" max="1" width="45.88671875" customWidth="1"/>
  </cols>
  <sheetData>
    <row r="1" spans="1:4" ht="25.8" x14ac:dyDescent="0.5">
      <c r="A1" s="166" t="s">
        <v>229</v>
      </c>
    </row>
    <row r="3" spans="1:4" x14ac:dyDescent="0.3">
      <c r="A3" s="76" t="s">
        <v>105</v>
      </c>
    </row>
    <row r="4" spans="1:4" ht="15" thickBot="1" x14ac:dyDescent="0.35">
      <c r="A4" s="76"/>
    </row>
    <row r="5" spans="1:4" ht="15" thickBot="1" x14ac:dyDescent="0.35">
      <c r="B5" s="167" t="s">
        <v>1</v>
      </c>
      <c r="C5" s="30" t="s">
        <v>2</v>
      </c>
      <c r="D5" s="3" t="s">
        <v>51</v>
      </c>
    </row>
    <row r="6" spans="1:4" ht="14.4" customHeight="1" x14ac:dyDescent="0.3">
      <c r="A6" s="4" t="s">
        <v>101</v>
      </c>
      <c r="B6" s="213" t="s">
        <v>230</v>
      </c>
      <c r="C6" s="78" t="s">
        <v>107</v>
      </c>
      <c r="D6" s="6">
        <v>3</v>
      </c>
    </row>
    <row r="7" spans="1:4" ht="28.8" x14ac:dyDescent="0.3">
      <c r="A7" s="7" t="s">
        <v>102</v>
      </c>
      <c r="B7" s="214"/>
      <c r="C7" s="82" t="s">
        <v>106</v>
      </c>
      <c r="D7" s="9">
        <v>10</v>
      </c>
    </row>
    <row r="8" spans="1:4" ht="28.8" x14ac:dyDescent="0.3">
      <c r="A8" s="7" t="s">
        <v>103</v>
      </c>
      <c r="B8" s="214"/>
      <c r="C8" s="82" t="s">
        <v>107</v>
      </c>
      <c r="D8" s="9">
        <v>2</v>
      </c>
    </row>
    <row r="9" spans="1:4" ht="29.4" thickBot="1" x14ac:dyDescent="0.35">
      <c r="A9" s="10" t="s">
        <v>104</v>
      </c>
      <c r="B9" s="215"/>
      <c r="C9" s="79" t="s">
        <v>108</v>
      </c>
      <c r="D9" s="12">
        <v>0.29249999999999998</v>
      </c>
    </row>
  </sheetData>
  <mergeCells count="1">
    <mergeCell ref="B6:B9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DD64-E349-46E1-88AD-662C52E30EC0}">
  <dimension ref="A1:C39"/>
  <sheetViews>
    <sheetView zoomScaleNormal="100" workbookViewId="0"/>
  </sheetViews>
  <sheetFormatPr baseColWidth="10" defaultRowHeight="14.4" x14ac:dyDescent="0.3"/>
  <cols>
    <col min="1" max="1" width="59.6640625" customWidth="1"/>
    <col min="2" max="2" width="40.21875" bestFit="1" customWidth="1"/>
  </cols>
  <sheetData>
    <row r="1" spans="1:2" ht="25.8" x14ac:dyDescent="0.5">
      <c r="A1" s="166" t="s">
        <v>231</v>
      </c>
    </row>
    <row r="3" spans="1:2" ht="15" thickBot="1" x14ac:dyDescent="0.35">
      <c r="A3" s="76" t="s">
        <v>122</v>
      </c>
    </row>
    <row r="4" spans="1:2" ht="15" thickBot="1" x14ac:dyDescent="0.35">
      <c r="B4" s="90" t="s">
        <v>126</v>
      </c>
    </row>
    <row r="5" spans="1:2" ht="18" customHeight="1" x14ac:dyDescent="0.3">
      <c r="A5" s="13" t="s">
        <v>109</v>
      </c>
      <c r="B5" s="73">
        <v>1</v>
      </c>
    </row>
    <row r="6" spans="1:2" x14ac:dyDescent="0.3">
      <c r="A6" s="89" t="s">
        <v>110</v>
      </c>
      <c r="B6" s="91">
        <v>0</v>
      </c>
    </row>
    <row r="7" spans="1:2" x14ac:dyDescent="0.3">
      <c r="A7" s="85" t="s">
        <v>111</v>
      </c>
      <c r="B7" s="74">
        <v>0</v>
      </c>
    </row>
    <row r="8" spans="1:2" x14ac:dyDescent="0.3">
      <c r="A8" s="85" t="s">
        <v>112</v>
      </c>
      <c r="B8" s="74">
        <v>0</v>
      </c>
    </row>
    <row r="9" spans="1:2" x14ac:dyDescent="0.3">
      <c r="A9" s="85" t="s">
        <v>113</v>
      </c>
      <c r="B9" s="74">
        <v>0</v>
      </c>
    </row>
    <row r="10" spans="1:2" x14ac:dyDescent="0.3">
      <c r="A10" s="85" t="s">
        <v>114</v>
      </c>
      <c r="B10" s="74">
        <v>0</v>
      </c>
    </row>
    <row r="11" spans="1:2" x14ac:dyDescent="0.3">
      <c r="A11" s="85" t="s">
        <v>115</v>
      </c>
      <c r="B11" s="74">
        <v>0</v>
      </c>
    </row>
    <row r="12" spans="1:2" x14ac:dyDescent="0.3">
      <c r="A12" s="85" t="s">
        <v>116</v>
      </c>
      <c r="B12" s="74">
        <v>0</v>
      </c>
    </row>
    <row r="13" spans="1:2" x14ac:dyDescent="0.3">
      <c r="A13" s="85" t="s">
        <v>117</v>
      </c>
      <c r="B13" s="74">
        <v>0</v>
      </c>
    </row>
    <row r="14" spans="1:2" x14ac:dyDescent="0.3">
      <c r="A14" s="85" t="s">
        <v>118</v>
      </c>
      <c r="B14" s="74">
        <v>0</v>
      </c>
    </row>
    <row r="15" spans="1:2" x14ac:dyDescent="0.3">
      <c r="A15" s="85" t="s">
        <v>119</v>
      </c>
      <c r="B15" s="74">
        <v>0</v>
      </c>
    </row>
    <row r="16" spans="1:2" x14ac:dyDescent="0.3">
      <c r="A16" s="85" t="s">
        <v>120</v>
      </c>
      <c r="B16" s="74">
        <v>0</v>
      </c>
    </row>
    <row r="17" spans="1:3" x14ac:dyDescent="0.3">
      <c r="A17" s="85" t="s">
        <v>121</v>
      </c>
      <c r="B17" s="74">
        <v>0</v>
      </c>
    </row>
    <row r="18" spans="1:3" x14ac:dyDescent="0.3">
      <c r="A18" s="85" t="s">
        <v>123</v>
      </c>
      <c r="B18" s="74">
        <v>0</v>
      </c>
    </row>
    <row r="19" spans="1:3" x14ac:dyDescent="0.3">
      <c r="A19" s="85" t="s">
        <v>124</v>
      </c>
      <c r="B19" s="74">
        <v>0</v>
      </c>
    </row>
    <row r="20" spans="1:3" ht="15" thickBot="1" x14ac:dyDescent="0.35">
      <c r="A20" s="86" t="s">
        <v>125</v>
      </c>
      <c r="B20" s="75">
        <v>0</v>
      </c>
      <c r="C20" s="36"/>
    </row>
    <row r="22" spans="1:3" ht="15" thickBot="1" x14ac:dyDescent="0.35">
      <c r="A22" s="76" t="s">
        <v>145</v>
      </c>
    </row>
    <row r="23" spans="1:3" ht="15" thickBot="1" x14ac:dyDescent="0.35">
      <c r="B23" s="90" t="s">
        <v>126</v>
      </c>
    </row>
    <row r="24" spans="1:3" ht="18" customHeight="1" x14ac:dyDescent="0.3">
      <c r="A24" s="40" t="s">
        <v>163</v>
      </c>
      <c r="B24" s="73">
        <v>1</v>
      </c>
    </row>
    <row r="25" spans="1:3" x14ac:dyDescent="0.3">
      <c r="A25" s="89" t="s">
        <v>110</v>
      </c>
      <c r="B25" s="91">
        <v>1</v>
      </c>
    </row>
    <row r="26" spans="1:3" x14ac:dyDescent="0.3">
      <c r="A26" s="85" t="s">
        <v>111</v>
      </c>
      <c r="B26" s="74">
        <v>1</v>
      </c>
    </row>
    <row r="27" spans="1:3" x14ac:dyDescent="0.3">
      <c r="A27" s="85" t="s">
        <v>112</v>
      </c>
      <c r="B27" s="74">
        <v>1</v>
      </c>
    </row>
    <row r="28" spans="1:3" x14ac:dyDescent="0.3">
      <c r="A28" s="85" t="s">
        <v>113</v>
      </c>
      <c r="B28" s="74">
        <v>1</v>
      </c>
    </row>
    <row r="29" spans="1:3" x14ac:dyDescent="0.3">
      <c r="A29" s="85" t="s">
        <v>114</v>
      </c>
      <c r="B29" s="74">
        <v>1</v>
      </c>
    </row>
    <row r="30" spans="1:3" x14ac:dyDescent="0.3">
      <c r="A30" s="85" t="s">
        <v>115</v>
      </c>
      <c r="B30" s="74">
        <v>1</v>
      </c>
    </row>
    <row r="31" spans="1:3" x14ac:dyDescent="0.3">
      <c r="A31" s="85" t="s">
        <v>116</v>
      </c>
      <c r="B31" s="74">
        <v>1</v>
      </c>
    </row>
    <row r="32" spans="1:3" x14ac:dyDescent="0.3">
      <c r="A32" s="85" t="s">
        <v>117</v>
      </c>
      <c r="B32" s="74">
        <v>1</v>
      </c>
    </row>
    <row r="33" spans="1:3" x14ac:dyDescent="0.3">
      <c r="A33" s="85" t="s">
        <v>118</v>
      </c>
      <c r="B33" s="74">
        <v>1</v>
      </c>
    </row>
    <row r="34" spans="1:3" x14ac:dyDescent="0.3">
      <c r="A34" s="85" t="s">
        <v>119</v>
      </c>
      <c r="B34" s="74">
        <v>1</v>
      </c>
    </row>
    <row r="35" spans="1:3" x14ac:dyDescent="0.3">
      <c r="A35" s="85" t="s">
        <v>120</v>
      </c>
      <c r="B35" s="74">
        <v>1</v>
      </c>
    </row>
    <row r="36" spans="1:3" x14ac:dyDescent="0.3">
      <c r="A36" s="85" t="s">
        <v>121</v>
      </c>
      <c r="B36" s="74">
        <v>1</v>
      </c>
    </row>
    <row r="37" spans="1:3" x14ac:dyDescent="0.3">
      <c r="A37" s="85" t="s">
        <v>123</v>
      </c>
      <c r="B37" s="74">
        <v>0</v>
      </c>
    </row>
    <row r="38" spans="1:3" x14ac:dyDescent="0.3">
      <c r="A38" s="85" t="s">
        <v>124</v>
      </c>
      <c r="B38" s="74">
        <v>0</v>
      </c>
    </row>
    <row r="39" spans="1:3" ht="15" thickBot="1" x14ac:dyDescent="0.35">
      <c r="A39" s="86" t="s">
        <v>125</v>
      </c>
      <c r="B39" s="75">
        <v>0</v>
      </c>
      <c r="C39" s="3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1</vt:i4>
      </vt:variant>
    </vt:vector>
  </HeadingPairs>
  <TitlesOfParts>
    <vt:vector size="9" baseType="lpstr">
      <vt:lpstr>Demography</vt:lpstr>
      <vt:lpstr>Economy</vt:lpstr>
      <vt:lpstr>Labour</vt:lpstr>
      <vt:lpstr>Energy</vt:lpstr>
      <vt:lpstr>Land</vt:lpstr>
      <vt:lpstr>Stressors</vt:lpstr>
      <vt:lpstr>Climate</vt:lpstr>
      <vt:lpstr>Switches</vt:lpstr>
      <vt:lpstr>OUTPUT_LOSSES_FACTOR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Yiting</dc:creator>
  <cp:lastModifiedBy>ARTHUR HAOYU LAUER</cp:lastModifiedBy>
  <dcterms:created xsi:type="dcterms:W3CDTF">2015-06-05T18:19:34Z</dcterms:created>
  <dcterms:modified xsi:type="dcterms:W3CDTF">2025-11-15T19:12:13Z</dcterms:modified>
</cp:coreProperties>
</file>