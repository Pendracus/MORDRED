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F:\1_MORDRED_PROJECT\3_model_exploitation_251028\PAPER10_FST1_FST5\writing\"/>
    </mc:Choice>
  </mc:AlternateContent>
  <xr:revisionPtr revIDLastSave="0" documentId="13_ncr:1_{8542DF0E-3C95-4485-A1C0-A95B83B7DF97}" xr6:coauthVersionLast="47" xr6:coauthVersionMax="47" xr10:uidLastSave="{00000000-0000-0000-0000-000000000000}"/>
  <bookViews>
    <workbookView xWindow="-108" yWindow="-108" windowWidth="23256" windowHeight="13896" activeTab="2" xr2:uid="{00000000-000D-0000-FFFF-FFFF00000000}"/>
  </bookViews>
  <sheets>
    <sheet name="Readme" sheetId="10" r:id="rId1"/>
    <sheet name="Sectors" sheetId="16" r:id="rId2"/>
    <sheet name="Model_variables" sheetId="2" r:id="rId3"/>
  </sheets>
  <definedNames>
    <definedName name="A_MATRIX_2030">Model_variables!$B$118:$Z$142</definedName>
    <definedName name="A_MATRIX_2060">Model_variables!#REF!</definedName>
    <definedName name="A_MATRIX_2100">Model_variables!$B$61:$Z$85</definedName>
    <definedName name="ALPHA_DAMAGE_LABOUR_PRODUCTIVITY">#REF!</definedName>
    <definedName name="ALPHA_DAMAGE_LABOUR_SUPPLY">#REF!</definedName>
    <definedName name="ALPHA_DEPENDENT_POPULATION">#REF!</definedName>
    <definedName name="ALPHA_LAND_SUBSISTENCE_DAMAGE">#REF!</definedName>
    <definedName name="ALPHA_OUTPUT_LOSSES_A_MATRIX">Model_variables!$E$217</definedName>
    <definedName name="ALPHA_SUPPORTING_INDUSTRY">#REF!</definedName>
    <definedName name="AMOUNT_OF_LAND_TO_PROTECT">#REF!</definedName>
    <definedName name="ANNUAL_WORKING_HOURS">#REF!</definedName>
    <definedName name="BETA_0_EXTRACTION">#REF!</definedName>
    <definedName name="BETA_0_FORMAL_ECONOMY_TO_SUBSISTENCE">#REF!</definedName>
    <definedName name="BETA_1_EXTRACTION">#REF!</definedName>
    <definedName name="BETA_1_FORMAL_ECONOMY_TO_SUBSISTENCE">#REF!</definedName>
    <definedName name="BETA_1_SUBSISTENCE_TO_FORMAL_ECONOMY">#REF!</definedName>
    <definedName name="BETA_2_SSP">Model_variables!#REF!</definedName>
    <definedName name="BETA_3_SSP">Model_variables!#REF!</definedName>
    <definedName name="BETA_OUTPUT_LOSSES_A_MATRIX">Model_variables!$E$218</definedName>
    <definedName name="BETA1_SSP">Model_variables!#REF!</definedName>
    <definedName name="CAPITAL_INTENSITY_2100">Model_variables!$B$184:$Z$184</definedName>
    <definedName name="DESIRED_CONSUMPTION_GROWTH_RATE_SP">Model_variables!#REF!</definedName>
    <definedName name="DISPOSABLE_LAND_FOR_FOODLAND_AND_FOREST">Model_variables!$E$26</definedName>
    <definedName name="EARLY_DESIRED_CONSUMPTION_GROWTH_RATE_SP">Model_variables!$F$145:$H$146</definedName>
    <definedName name="EARLY_TARGET_CONSUMPTION_SHARE_1">Model_variables!#REF!</definedName>
    <definedName name="EARLY_TARGET_CONSUMPTION_SHARE_2">Model_variables!#REF!</definedName>
    <definedName name="EARLY_TARGET_CONSUMPTION_SHARE_3">Model_variables!#REF!</definedName>
    <definedName name="EARLY_TARGET_SHARE_OF_EACH_SECTOR_IN_GOVERNMENT_CONSUMPTION_SP">Model_variables!$B$159:$Z$159</definedName>
    <definedName name="EARLY_TARGET_SHARE_OF_EACH_SECTOR_IN_GROSS_FIXED_CAPITAL_FOMATION">Model_variables!#REF!</definedName>
    <definedName name="Equilibrium_climate_sensitivity">#REF!</definedName>
    <definedName name="Erebor_input_row">#REF!</definedName>
    <definedName name="FERTILITY_MULTIPLIER">#REF!</definedName>
    <definedName name="GAMMA_OUTPUT_LOSSES_A_MATRIX">Model_variables!$E$219</definedName>
    <definedName name="INEQUALITY_FACTORS_SP">Model_variables!$B$192:$CE$200</definedName>
    <definedName name="INITIAL_RECOVERABLE_RESOURCES_OF_FOSSIL_FUELS">#REF!</definedName>
    <definedName name="LATE_DESIRED_CONSUMPTION_GROWTH_RATE_SP">Model_variables!#REF!</definedName>
    <definedName name="LATE_TARGET_CONSUMPTION_SHARE_1">Model_variables!#REF!</definedName>
    <definedName name="LATE_TARGET_CONSUMPTION_SHARE_2">Model_variables!#REF!</definedName>
    <definedName name="LATE_TARGET_CONSUMPTION_SHARE_3">Model_variables!#REF!</definedName>
    <definedName name="LATE_TARGET_SHARE_OF_EACH_SECTOR_IN_GOVERNMENT_CONSUMPTION_SP">Model_variables!$B$167:$Z$167</definedName>
    <definedName name="LATE_TARGET_SHARE_OF_EACH_SECTOR_IN_GROSS_FIXED_CAPITAL_FOMATION">Model_variables!$B$170:$Z$170</definedName>
    <definedName name="MAXIMUM_DEPRECIATION_RATE_CAUSED_BY_SEA_LEVEL_RISE_2°C_SP">Model_variables!$B$216</definedName>
    <definedName name="MAXIMUM_DEPRECIATION_RATE_CAUSED_BY_SEA_LEVEL_RISE_3°C_SP">Model_variables!$B$217</definedName>
    <definedName name="MAXIMUM_DEPRECIATION_RATE_CAUSED_BY_SEA_LEVEL_RISE_4°C_SP">Model_variables!$B$218</definedName>
    <definedName name="MAXIMUM_FOODLAND_LOSS_CAUSED_BY_CLIMATE_CHANGE">#REF!</definedName>
    <definedName name="MAXIMUM_GROWTH_RATE_OF_LAND_DEMAND_FOR_HUMAN_USE_SP">#REF!</definedName>
    <definedName name="MAXIMUM_LAND_LOSS_CAUSED_BY_CLIMATE_CHANGE">#REF!</definedName>
    <definedName name="MAXIMUM_PARTICIPATION_RATE_SP">#REF!</definedName>
    <definedName name="MAXIMUM_SHARE_OF_EXTRACTABLE_FOSSIL_FUEL_RESOURCES_PER_YEAR_SP">#REF!</definedName>
    <definedName name="OUTPUT_LOSSES_FACTOR">Model_variables!#REF!</definedName>
    <definedName name="PEXTRA_DEMAND_MP">Model_variables!#REF!</definedName>
    <definedName name="PEXTRA_FOODLAND_FOREST_MP">#REF!</definedName>
    <definedName name="PEXTRA_LAND_MP">#REF!</definedName>
    <definedName name="PEXTRA_REST_OF_THE_LANDS_MP">#REF!</definedName>
    <definedName name="PPRIORITY_DEMAND_MP">Model_variables!#REF!</definedName>
    <definedName name="PPRIORITY_FOODLAND_FOREST_MP">#REF!</definedName>
    <definedName name="PPRIORITY_LAND_MP">#REF!</definedName>
    <definedName name="PPRIORITY_REST_OF_THE_LANDS_MP">#REF!</definedName>
    <definedName name="PPRIORIY_PROTECTION_LAND_SP">#REF!</definedName>
    <definedName name="process_efficiency">#REF!</definedName>
    <definedName name="product_use_time">#REF!</definedName>
    <definedName name="PTYPE_DEMAND_MP">Model_variables!#REF!</definedName>
    <definedName name="PTYPE_FOODLAND_FOREST_MP">#REF!</definedName>
    <definedName name="PTYPE_LAND_MP">#REF!</definedName>
    <definedName name="PTYPE_REST_OF_THE_LANDS_MP">#REF!</definedName>
    <definedName name="PWIDTH_DEMAND_MP">Model_variables!#REF!</definedName>
    <definedName name="PWIDTH_FOODLAND_FOREST_MP">#REF!</definedName>
    <definedName name="PWIDTH_LAND_MP">#REF!</definedName>
    <definedName name="PWIDTH_REST_OF_THE_LANDS_MP">#REF!</definedName>
    <definedName name="Reference_Sensitivity_of_C_from_Permafrost_and_Clathrate_to_Temperature">#REF!</definedName>
    <definedName name="Reference_Sensitivity_of_CH4_from_Permafrost_and_Clathrate_to_Temperature">#REF!</definedName>
    <definedName name="Scenario_Number">Readme!$B$5</definedName>
    <definedName name="SECTORAL_SHARES_OF_DAMAGES_IN_CAPITAL_STOCK">Model_variables!$B$223:$Z$223</definedName>
    <definedName name="Sensitivity_of_C_Uptake_to_Temperature">#REF!</definedName>
    <definedName name="Sensitivity_of_Methane_Emissions_to_Permafrost_and_Clathrate">#REF!</definedName>
    <definedName name="Sensitivity_of_Methane_Emissions_to_Temperature">#REF!</definedName>
    <definedName name="shire_material_input_row">#REF!</definedName>
    <definedName name="SIGMA_SLR_SP">Model_variables!$B$219</definedName>
    <definedName name="SWITCH_DAMAGES_ON_LABOUR_PRODUCTIVITY_BY_HEAT_SP">#REF!</definedName>
    <definedName name="SWITCH_DEPRECIATION_RATE_CAUSED_BY_CLIMATE_CHANGE_SP">#REF!</definedName>
    <definedName name="SWITCH_DEPRECIATION_RATE_CAUSED_BY_SEA_LEVEL_RISE_SP">#REF!</definedName>
    <definedName name="SWITCH_DG_CONSUMPTION_TARGET_MAX_VALUE_SP">#REF!</definedName>
    <definedName name="SWITCH_FOSSIL_FUELS_EXTRACTION_DIFFICULTY_FACTOR_SP">#REF!</definedName>
    <definedName name="SWITCH_FOSSIL_FUELS_RATIONING_SCARCITY_FACTOR">#REF!</definedName>
    <definedName name="SWITCH_GROWTH_SLOWDOWN_SP">#REF!</definedName>
    <definedName name="SWITCH_LABOUR_SCARCITY_FACTOR">#REF!</definedName>
    <definedName name="SWITCH_LAND_LOSS_CAUSED_BY_CLIMATE_CHANGE_SP">#REF!</definedName>
    <definedName name="SWITCH_LAND_SCARCITY_FACTOR_SP">#REF!</definedName>
    <definedName name="SWITCH_LOSSES_LABOUR_SUPPLY_BY_HEAT_SP">#REF!</definedName>
    <definedName name="SWITCH_OUTPUT_LOSS_FACTOR_SP">#REF!</definedName>
    <definedName name="SWITCH_SSP_SECTORS_VARIATION_FACTOR">#REF!</definedName>
    <definedName name="SWITCH_SUBSISTENCE_LAND_INTENSITY_DUE_TO_CLIMATE_CHANGE_SP">#REF!</definedName>
    <definedName name="TARGET_AIR_POLLUTION_SECTORIAL_INTENSITY">#REF!</definedName>
    <definedName name="TARGET_CONSUMPTION_PERIPHERY_LOW_SP">Model_variables!$E$153</definedName>
    <definedName name="TARGET_GREENHOUSE_GAS_EMISSIONS_INTENSITY">#REF!</definedName>
    <definedName name="TARGET_LABOUR_INTENSITY">#REF!</definedName>
    <definedName name="TARGET_LAND_INTENSITIES_SP">#REF!</definedName>
    <definedName name="TARGET_MATERIAL_EXTRACTION_USED_INTENSITY_SP">#REF!</definedName>
    <definedName name="TARGET_NITROGEN_AND_PHOSPHORUS_POLLUTION_INTENSITY_OF_AGRICULTURE_SP">#REF!</definedName>
    <definedName name="TARGET_SUBSISTENCE_LAND_INTENSITY">#REF!</definedName>
    <definedName name="TARGET_WATER_CONSUMPTION_INDUSTRIAL_INTENSITY_SP">#REF!</definedName>
    <definedName name="TARGET_WATER_CONSUMPTION_INTENSITY_OF_HOUSEHOLDS_SP">#REF!</definedName>
    <definedName name="TARGET_WATER_WITHDRAWAL_INDUSTRIAL_INTENSITY_SP">#REF!</definedName>
    <definedName name="TARGET_WATER_WITHDRAWAL_INTENSITY_OF_HOUSEHOLD_SP">#REF!</definedName>
    <definedName name="Temperature_Threshold_for_Methane_Emissions_from_Permafrost_and_Clathrate">#REF!</definedName>
    <definedName name="time_inequality">Model_variables!$B$191:$CE$191</definedName>
    <definedName name="TOTAL_EXTRA_INVESTMENT_DUE_TO_SEA_LEVEL_RISE">Model_variables!#REF!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04" i="2" l="1"/>
  <c r="B366" i="2"/>
  <c r="C366" i="2" s="1"/>
  <c r="D366" i="2" s="1"/>
  <c r="E366" i="2" s="1"/>
  <c r="F366" i="2" s="1"/>
  <c r="G366" i="2" s="1"/>
  <c r="H366" i="2" s="1"/>
  <c r="I366" i="2" s="1"/>
  <c r="J366" i="2" s="1"/>
  <c r="K366" i="2" s="1"/>
  <c r="L366" i="2" s="1"/>
  <c r="M366" i="2" s="1"/>
  <c r="N366" i="2" s="1"/>
  <c r="O366" i="2" s="1"/>
  <c r="P366" i="2" s="1"/>
  <c r="Q366" i="2" s="1"/>
  <c r="R366" i="2" s="1"/>
  <c r="S366" i="2" s="1"/>
  <c r="T366" i="2" s="1"/>
  <c r="U366" i="2" s="1"/>
  <c r="V366" i="2" s="1"/>
  <c r="W366" i="2" s="1"/>
  <c r="X366" i="2" s="1"/>
  <c r="Y366" i="2" s="1"/>
  <c r="Z366" i="2" s="1"/>
  <c r="B299" i="2" l="1"/>
  <c r="G271" i="2"/>
  <c r="F271" i="2"/>
  <c r="E271" i="2"/>
  <c r="D271" i="2"/>
  <c r="C271" i="2"/>
  <c r="B271" i="2"/>
  <c r="U252" i="2"/>
  <c r="T252" i="2"/>
  <c r="S252" i="2"/>
  <c r="R252" i="2"/>
  <c r="Q252" i="2"/>
  <c r="P252" i="2"/>
  <c r="O252" i="2"/>
  <c r="N252" i="2"/>
  <c r="M252" i="2"/>
  <c r="L252" i="2"/>
  <c r="K252" i="2"/>
  <c r="J252" i="2"/>
  <c r="I252" i="2"/>
  <c r="H252" i="2"/>
  <c r="G252" i="2"/>
  <c r="F252" i="2"/>
  <c r="E252" i="2"/>
  <c r="D252" i="2"/>
  <c r="C252" i="2"/>
  <c r="B252" i="2"/>
  <c r="C245" i="2"/>
  <c r="D245" i="2" s="1"/>
  <c r="E245" i="2" s="1"/>
  <c r="F245" i="2" s="1"/>
  <c r="G245" i="2" s="1"/>
  <c r="H245" i="2" s="1"/>
  <c r="I245" i="2" s="1"/>
  <c r="J245" i="2" s="1"/>
  <c r="K245" i="2" s="1"/>
  <c r="L245" i="2" s="1"/>
  <c r="M245" i="2" s="1"/>
  <c r="N245" i="2" s="1"/>
  <c r="O245" i="2" s="1"/>
  <c r="P245" i="2" s="1"/>
  <c r="Q245" i="2" s="1"/>
  <c r="R245" i="2" s="1"/>
  <c r="S245" i="2" s="1"/>
  <c r="T245" i="2" s="1"/>
  <c r="U245" i="2" s="1"/>
  <c r="A118" i="2" l="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89" i="2"/>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C88" i="2"/>
  <c r="D88" i="2" s="1"/>
  <c r="E88" i="2" s="1"/>
  <c r="F88" i="2" s="1"/>
  <c r="G88" i="2" s="1"/>
  <c r="H88" i="2" s="1"/>
  <c r="I88" i="2" s="1"/>
  <c r="J88" i="2" s="1"/>
  <c r="K88" i="2" s="1"/>
  <c r="L88" i="2" s="1"/>
  <c r="M88" i="2" s="1"/>
  <c r="N88" i="2" s="1"/>
  <c r="O88" i="2" s="1"/>
  <c r="P88" i="2" s="1"/>
  <c r="Q88" i="2" s="1"/>
  <c r="R88" i="2" s="1"/>
  <c r="S88" i="2" s="1"/>
  <c r="T88" i="2" s="1"/>
  <c r="U88" i="2" s="1"/>
  <c r="V88" i="2" s="1"/>
  <c r="W88" i="2" s="1"/>
  <c r="X88" i="2" s="1"/>
  <c r="Y88" i="2" s="1"/>
  <c r="Z88" i="2" s="1"/>
  <c r="C117" i="2"/>
  <c r="D117" i="2" s="1"/>
  <c r="E117" i="2" s="1"/>
  <c r="F117" i="2" s="1"/>
  <c r="G117" i="2" s="1"/>
  <c r="H117" i="2" s="1"/>
  <c r="I117" i="2" s="1"/>
  <c r="J117" i="2" s="1"/>
  <c r="K117" i="2" s="1"/>
  <c r="L117" i="2" s="1"/>
  <c r="M117" i="2" s="1"/>
  <c r="N117" i="2" s="1"/>
  <c r="O117" i="2" s="1"/>
  <c r="P117" i="2" s="1"/>
  <c r="Q117" i="2" s="1"/>
  <c r="R117" i="2" s="1"/>
  <c r="S117" i="2" s="1"/>
  <c r="T117" i="2" s="1"/>
  <c r="U117" i="2" s="1"/>
  <c r="V117" i="2" s="1"/>
  <c r="W117" i="2" s="1"/>
  <c r="X117" i="2" s="1"/>
  <c r="Y117" i="2" s="1"/>
  <c r="Z117" i="2" s="1"/>
  <c r="A61" i="2"/>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C60" i="2"/>
  <c r="D60" i="2" s="1"/>
  <c r="E60" i="2" s="1"/>
  <c r="F60" i="2" s="1"/>
  <c r="G60" i="2" s="1"/>
  <c r="H60" i="2" s="1"/>
  <c r="I60" i="2" s="1"/>
  <c r="J60" i="2" s="1"/>
  <c r="K60" i="2" s="1"/>
  <c r="L60" i="2" s="1"/>
  <c r="M60" i="2" s="1"/>
  <c r="N60" i="2" s="1"/>
  <c r="O60" i="2" s="1"/>
  <c r="P60" i="2" s="1"/>
  <c r="Q60" i="2" s="1"/>
  <c r="R60" i="2" s="1"/>
  <c r="S60" i="2" s="1"/>
  <c r="T60" i="2" s="1"/>
  <c r="U60" i="2" s="1"/>
  <c r="V60" i="2" s="1"/>
  <c r="W60" i="2" s="1"/>
  <c r="X60" i="2" s="1"/>
  <c r="Y60" i="2" s="1"/>
  <c r="Z60" i="2" s="1"/>
  <c r="A6" i="16"/>
  <c r="A7" i="16"/>
  <c r="A8" i="16" s="1"/>
  <c r="A9" i="16" s="1"/>
  <c r="A10" i="16" s="1"/>
  <c r="A11" i="16" s="1"/>
  <c r="A12" i="16" s="1"/>
  <c r="A13" i="16" s="1"/>
  <c r="A14" i="16" s="1"/>
  <c r="A15" i="16" s="1"/>
  <c r="A16" i="16" s="1"/>
  <c r="A17" i="16" s="1"/>
  <c r="A18" i="16" s="1"/>
  <c r="A19" i="16" s="1"/>
  <c r="A20" i="16" s="1"/>
  <c r="A21" i="16" s="1"/>
  <c r="A22" i="16" s="1"/>
  <c r="A23" i="16" s="1"/>
  <c r="A24" i="16" s="1"/>
  <c r="A25" i="16" s="1"/>
  <c r="A26" i="16" s="1"/>
  <c r="A27" i="16" s="1"/>
  <c r="A28" i="16" s="1"/>
  <c r="A5" i="16"/>
  <c r="A4" i="16"/>
</calcChain>
</file>

<file path=xl/sharedStrings.xml><?xml version="1.0" encoding="utf-8"?>
<sst xmlns="http://schemas.openxmlformats.org/spreadsheetml/2006/main" count="476" uniqueCount="334">
  <si>
    <t>sectors</t>
  </si>
  <si>
    <t>isengard</t>
  </si>
  <si>
    <t>shire_material</t>
  </si>
  <si>
    <t>m_energy</t>
  </si>
  <si>
    <t>erebor</t>
  </si>
  <si>
    <t>dale</t>
  </si>
  <si>
    <t>dale_re</t>
  </si>
  <si>
    <t>minas_tir</t>
  </si>
  <si>
    <t>m_material</t>
  </si>
  <si>
    <t>lot_alchemy</t>
  </si>
  <si>
    <t>shire_energy</t>
  </si>
  <si>
    <t>gondor</t>
  </si>
  <si>
    <t>lot_ff</t>
  </si>
  <si>
    <t>lot_nuc</t>
  </si>
  <si>
    <t>lot_re_hydro</t>
  </si>
  <si>
    <t>lot_re_wind</t>
  </si>
  <si>
    <t>lot_re_bio</t>
  </si>
  <si>
    <t>lot_re_PV</t>
  </si>
  <si>
    <t>lot_re_stherm</t>
  </si>
  <si>
    <t>lot_re_tide</t>
  </si>
  <si>
    <t>lot_re_gtherm</t>
  </si>
  <si>
    <t>rohan</t>
  </si>
  <si>
    <t>riv_educ</t>
  </si>
  <si>
    <t>riv_health</t>
  </si>
  <si>
    <t>forochel</t>
  </si>
  <si>
    <t>forochel_re</t>
  </si>
  <si>
    <t>Center</t>
  </si>
  <si>
    <t>Periphery</t>
  </si>
  <si>
    <t>Semiperiphery</t>
  </si>
  <si>
    <t>shrub</t>
  </si>
  <si>
    <t>infrastructure</t>
  </si>
  <si>
    <t>Maximum share of extractable fossil fuel resources per year</t>
  </si>
  <si>
    <t>LIMITS TO THE EXTRACTION OF FOSSIL RESOURCES</t>
  </si>
  <si>
    <t>Value</t>
  </si>
  <si>
    <t>PARAMETERS ALLOCATE LAND</t>
  </si>
  <si>
    <t>ANNUAL WORKING HOURS</t>
  </si>
  <si>
    <t>annual working hours per person</t>
  </si>
  <si>
    <t>max hours per day</t>
  </si>
  <si>
    <t>max days per week</t>
  </si>
  <si>
    <t>weeks per year</t>
  </si>
  <si>
    <t>MAXIMUM PARTICIPATION RATE</t>
  </si>
  <si>
    <t>MOBILITY PARAMETERS BETWEEN SUBSISTENCE AND FORMAL ECONOMY</t>
  </si>
  <si>
    <t>Beta 1 subsistence to formal economy</t>
  </si>
  <si>
    <t>Beta 0 formal economy to subsistence</t>
  </si>
  <si>
    <t>Beta 1 formal economy to subsistence</t>
  </si>
  <si>
    <t>SECTORAL SHARES OF DAMAGES IN CAPITAL STOCK</t>
  </si>
  <si>
    <t>DAMAGES IN CAPITAL STOCK DUE TO SLR</t>
  </si>
  <si>
    <t>alpha</t>
  </si>
  <si>
    <t>beta</t>
  </si>
  <si>
    <t>gamma</t>
  </si>
  <si>
    <t>OUTPUT LOSSES FACTOR (CAPITAL, LABOUR AND LAND)</t>
  </si>
  <si>
    <t xml:space="preserve">LOSSES OF LABOR PRODUCTIVITY DUE TO HEAT </t>
  </si>
  <si>
    <t>alpha_D_Lprod_heat</t>
  </si>
  <si>
    <t>LOSSES OF MAX LABOR SUPPLY DUE TO HEAT</t>
  </si>
  <si>
    <t>alpha_D_Lsupply</t>
  </si>
  <si>
    <t>share high resistance workers</t>
  </si>
  <si>
    <t>share deadly heat days</t>
  </si>
  <si>
    <t>PARAMETERS OF EXTRACTION COST FUNCTION</t>
  </si>
  <si>
    <t>Beta 0 extraction</t>
  </si>
  <si>
    <t>Beta 1 extraction</t>
  </si>
  <si>
    <t>DAMAGE FACTOR ON SUBSISTENCE LAND INTENSITY</t>
  </si>
  <si>
    <t>alpha_D_subsistence_intensity</t>
  </si>
  <si>
    <t>Total_loss_general</t>
  </si>
  <si>
    <t>Total_loss_foodland</t>
  </si>
  <si>
    <t>TARGET CAPITAL INTENSITIES</t>
  </si>
  <si>
    <t>Maximum depreciation rate caused by see level rise 2ºC</t>
  </si>
  <si>
    <t>Sigma SLR</t>
  </si>
  <si>
    <t>Switch fossil fuels extraction difficulty factor</t>
  </si>
  <si>
    <t>Switch land scarcity factor</t>
  </si>
  <si>
    <t>Switch labour scarcity factor</t>
  </si>
  <si>
    <t>Switch capital depreciation caused by climate change</t>
  </si>
  <si>
    <t>Switch damages by sea level rise</t>
  </si>
  <si>
    <t>Switch output loss factor</t>
  </si>
  <si>
    <t>Switch damages on labour productivity due to heat</t>
  </si>
  <si>
    <t>Switch labour supply losses by heat</t>
  </si>
  <si>
    <t>Switch land losses caused by climate change</t>
  </si>
  <si>
    <t>Switch subsistence land intensity due to climate change</t>
  </si>
  <si>
    <t>Switch fossil fuels rationing scarcity factor</t>
  </si>
  <si>
    <t>PARAMETERS PROTECTION LAND</t>
  </si>
  <si>
    <t>Green water consumption</t>
  </si>
  <si>
    <t>Blue water consumption</t>
  </si>
  <si>
    <t>Blue water withdrawal</t>
  </si>
  <si>
    <t>Households</t>
  </si>
  <si>
    <t>Domestic blue water consumption</t>
  </si>
  <si>
    <t>Domestic blue water withdrawal</t>
  </si>
  <si>
    <t>TARGET GREENHOUSE GAS EMISSIONS INTENSITY</t>
  </si>
  <si>
    <t>MAXIMUM GROWTH RATE OF LAND DEMAND FOR HUMAN USE</t>
  </si>
  <si>
    <t>INEQUALITY_FACTORS</t>
  </si>
  <si>
    <t>FST1</t>
  </si>
  <si>
    <t>FST5</t>
  </si>
  <si>
    <t>Bauxite and aluminium</t>
  </si>
  <si>
    <t>Copper</t>
  </si>
  <si>
    <t>Gold</t>
  </si>
  <si>
    <t>Iron</t>
  </si>
  <si>
    <t>Lead</t>
  </si>
  <si>
    <t>Nickel</t>
  </si>
  <si>
    <t>Silver</t>
  </si>
  <si>
    <t>Tin</t>
  </si>
  <si>
    <t>Zinc</t>
  </si>
  <si>
    <t>Clays and kaolin</t>
  </si>
  <si>
    <t>Gravel and sand</t>
  </si>
  <si>
    <t>Salt</t>
  </si>
  <si>
    <t>EARLY TARGET CONSUMPTION VECTOR GOVERNMENTS</t>
  </si>
  <si>
    <t>LATE TARGET CONSUMPTION VECTOR GOVERNMENTS</t>
  </si>
  <si>
    <t>EARLY TARGET CONSUMPTION VECTOR GFCF</t>
  </si>
  <si>
    <t>LATE TARGET CONSUMPTION VECTOR GFCF</t>
  </si>
  <si>
    <t>Sector number</t>
  </si>
  <si>
    <t>Sector description</t>
  </si>
  <si>
    <t>Agriculture, food, beverages</t>
  </si>
  <si>
    <t>Non-energy use of biomass</t>
  </si>
  <si>
    <t>Fossil fuels used for energy</t>
  </si>
  <si>
    <t>Mining</t>
  </si>
  <si>
    <t>Industry not elsewhere classified</t>
  </si>
  <si>
    <t>Recycling industry</t>
  </si>
  <si>
    <t>Services not elsewhere classified</t>
  </si>
  <si>
    <t>Non-energy use of fossil fuels</t>
  </si>
  <si>
    <t>Chemical industry</t>
  </si>
  <si>
    <t>Biomass used for energy</t>
  </si>
  <si>
    <t>Manufacturing</t>
  </si>
  <si>
    <t>Fossil fuel-based electricity</t>
  </si>
  <si>
    <t>Nuclear electricity</t>
  </si>
  <si>
    <t>Hydroelectricity</t>
  </si>
  <si>
    <t>Wind based electricity</t>
  </si>
  <si>
    <t>Biomass and waste based electricity</t>
  </si>
  <si>
    <t>Solar PV electricity</t>
  </si>
  <si>
    <t>Solar thermal electricity</t>
  </si>
  <si>
    <t>Tide, wave and ocean based electricity</t>
  </si>
  <si>
    <t>Geothermal electricity</t>
  </si>
  <si>
    <t>Transport</t>
  </si>
  <si>
    <t>Education</t>
  </si>
  <si>
    <t>Health</t>
  </si>
  <si>
    <t>Waste industry (waste water treatment, incineration,landfill)</t>
  </si>
  <si>
    <t>Waste industry (biogasification and composting)</t>
  </si>
  <si>
    <r>
      <t xml:space="preserve">Overview of MORDRED's sectors. </t>
    </r>
    <r>
      <rPr>
        <i/>
        <sz val="11"/>
        <color theme="1"/>
        <rFont val="Calibri"/>
        <family val="2"/>
        <scheme val="minor"/>
      </rPr>
      <t>Source: https://github.com/Pendracus/MORDRED/tree/main. A detailed list of all products contained in every sector is given in the model documentation available under the same link.</t>
    </r>
  </si>
  <si>
    <t>Economy</t>
  </si>
  <si>
    <t xml:space="preserve">A MATRIX 2100 </t>
  </si>
  <si>
    <t>A MATRIX 2030 (FST1 &amp; FST5)</t>
  </si>
  <si>
    <t>ADDITIONAL GROSS FIXED CAPITAL FORMATION DUE TO SEA LEVEL RISE (mio€)</t>
  </si>
  <si>
    <t xml:space="preserve">Parmaters of the function regulating the increase in input coefficients in the A-Matrix due to output losses </t>
  </si>
  <si>
    <t>sector 1</t>
  </si>
  <si>
    <t>EARLY TARGET CONSUMPTION VECTOR HOUSEHOLDS (low reference value)</t>
  </si>
  <si>
    <t>EARLY TARGET CONSUMPTION VECTOR HOUSEHOLDS (medium reference value)</t>
  </si>
  <si>
    <t>EARLY TARGET CONSUMPTION VECTOR HOUSEHOLDS (high reference value)</t>
  </si>
  <si>
    <t>LATE TARGET CONSUMPTION VECTOR HOUSEHOLDS (low reference value)</t>
  </si>
  <si>
    <t>LATE TARGET CONSUMPTION VECTOR HOUSEHOLDS (medium reference value)</t>
  </si>
  <si>
    <t>LATE TARGET CONSUMPTION VECTOR HOUSEHOLDS (high reference value)</t>
  </si>
  <si>
    <t>DEMOGRAPHY</t>
  </si>
  <si>
    <t>INITIAL A MATRIX</t>
  </si>
  <si>
    <t>Subsistence</t>
  </si>
  <si>
    <t>GOVERNMENT CONSUMPTION AS SHARE OF HOUSEHOLD CONSUMPTION</t>
  </si>
  <si>
    <t>Centre</t>
  </si>
  <si>
    <t>SECTORAL GOVERNMENT CONSUMPTION SHARE</t>
  </si>
  <si>
    <t>SECTORAL GROSS FIXED CAPITAL FORMATION SHARE</t>
  </si>
  <si>
    <t>INVESTMENT PARAMETERS</t>
  </si>
  <si>
    <t>Investment speed parameter</t>
  </si>
  <si>
    <t>Target excess capacity of the capital stock</t>
  </si>
  <si>
    <t>Initial capital factor to adjust investment</t>
  </si>
  <si>
    <t>SECTORAL CONSUMPTION SHARE FOR A LOW PER CAPITA CONSUMPTION REFERENCE VALUE (1355,8 €/year)</t>
  </si>
  <si>
    <t>SECTORAL CONSUMPTION SHARE FOR A MEDIUM PER CAPITA CONSUMPTION REFERENCE VALUE (3838,509 €/year)</t>
  </si>
  <si>
    <t>SECTORAL CONSUMPTION SHARE FOR A HIGH PER CAPITA CONSUMPTION REFERENCE VALUE (24672,571 €/year)</t>
  </si>
  <si>
    <t>INITIAL CONSUMPTION PER CAPITA (€/year)</t>
  </si>
  <si>
    <t>INITIAL OUTPUT (mio €)</t>
  </si>
  <si>
    <t>SECTORAL CAPITAL DEPRECIATION (mio €)</t>
  </si>
  <si>
    <t>CAPITAL-OUTPUT RATIOS</t>
  </si>
  <si>
    <t>BIRTH RATE MULTIPLIER</t>
  </si>
  <si>
    <t>Early consumption growth rate poorest 30%-Periphery (FST1 &amp; FST5)</t>
  </si>
  <si>
    <t>Late consumption growth rate poorest 30%-Periphery</t>
  </si>
  <si>
    <t>TARGET CONSUMPTION POOREST 30% PERIPHERY (€/year)</t>
  </si>
  <si>
    <t>Center richest 20%</t>
  </si>
  <si>
    <t>Center middle 50%</t>
  </si>
  <si>
    <t>Center poorest 30%</t>
  </si>
  <si>
    <t>Semiperiphery richest 20%</t>
  </si>
  <si>
    <t>Semiperiphery middle 50%</t>
  </si>
  <si>
    <t>Semiperiphery poorest 30%</t>
  </si>
  <si>
    <t>Periphery richest 20%</t>
  </si>
  <si>
    <t>Periphery middle 50%</t>
  </si>
  <si>
    <t>Periphery poorest 30%</t>
  </si>
  <si>
    <t>ag_0_4</t>
  </si>
  <si>
    <t>ag_5_9</t>
  </si>
  <si>
    <t>ag_10_14</t>
  </si>
  <si>
    <t>ag_15_19</t>
  </si>
  <si>
    <t>ag_20_24</t>
  </si>
  <si>
    <t>ag_25_29</t>
  </si>
  <si>
    <t>ag_30_34</t>
  </si>
  <si>
    <t>ag_35_39</t>
  </si>
  <si>
    <t>ag_40_44</t>
  </si>
  <si>
    <t>ag_45_49</t>
  </si>
  <si>
    <t>ag_50_54</t>
  </si>
  <si>
    <t>ag_55_59</t>
  </si>
  <si>
    <t>ag_60_64</t>
  </si>
  <si>
    <t>ag_65_69</t>
  </si>
  <si>
    <t>ag_70_74</t>
  </si>
  <si>
    <t>ag_75_79</t>
  </si>
  <si>
    <t>ag_80_84</t>
  </si>
  <si>
    <t>ag_85_89</t>
  </si>
  <si>
    <t>ag_90_94</t>
  </si>
  <si>
    <t>ag_95_plus</t>
  </si>
  <si>
    <t>param_0_4</t>
  </si>
  <si>
    <t>param_5_9</t>
  </si>
  <si>
    <t>param_10_14</t>
  </si>
  <si>
    <t>param_15_19</t>
  </si>
  <si>
    <t>param_20_24</t>
  </si>
  <si>
    <t>param_25_29</t>
  </si>
  <si>
    <t>param_30_34</t>
  </si>
  <si>
    <t>param_35_39</t>
  </si>
  <si>
    <t>param_40_44</t>
  </si>
  <si>
    <t>param_45_49</t>
  </si>
  <si>
    <t>param_50_54</t>
  </si>
  <si>
    <t>param_55_59</t>
  </si>
  <si>
    <t>param_60_64</t>
  </si>
  <si>
    <t>param_65_69</t>
  </si>
  <si>
    <t>param_70_74</t>
  </si>
  <si>
    <t>param_75_79</t>
  </si>
  <si>
    <t>param_80_84</t>
  </si>
  <si>
    <t>param_85_89</t>
  </si>
  <si>
    <t>param_90_94</t>
  </si>
  <si>
    <t>param_95plus</t>
  </si>
  <si>
    <t>yf</t>
  </si>
  <si>
    <t>y0</t>
  </si>
  <si>
    <t>log_alpha</t>
  </si>
  <si>
    <t>beta0_under_subsistence</t>
  </si>
  <si>
    <t>beta1_under_subsistence</t>
  </si>
  <si>
    <t>BIRTH RATE PARAMETERS</t>
  </si>
  <si>
    <t>param_fr_15_19</t>
  </si>
  <si>
    <t>param_fr_20_24</t>
  </si>
  <si>
    <t>param_fr_25_29</t>
  </si>
  <si>
    <t>param_fr_40_44</t>
  </si>
  <si>
    <t>param_fr_30_34_log</t>
  </si>
  <si>
    <t>param_fr_35_39_lm</t>
  </si>
  <si>
    <t>beta1</t>
  </si>
  <si>
    <t>beta2</t>
  </si>
  <si>
    <t>INITIAL POPULATION IN FORMAL ECONOMY (thousand people)</t>
  </si>
  <si>
    <t>INITIAL POPULATION IN SUBSISTENCE (thousand people)</t>
  </si>
  <si>
    <t>AVERAGE AGE PER COHORT (years)</t>
  </si>
  <si>
    <t>age cohor</t>
  </si>
  <si>
    <t>years</t>
  </si>
  <si>
    <t>DEATH RATE PARAMETERS</t>
  </si>
  <si>
    <t>LABOR</t>
  </si>
  <si>
    <t>TARGET LABOR INTENSITIES (mio. h / mio. €)</t>
  </si>
  <si>
    <t>INITIAL LABOR INTENSITIES (mio. h / mio. €)</t>
  </si>
  <si>
    <t>FST1 &amp; FST5</t>
  </si>
  <si>
    <t>The sheet 'Sectors' contains an overview of the sectors included in MORDRED.</t>
  </si>
  <si>
    <t>ENERGY</t>
  </si>
  <si>
    <t>FE_oil_EJ</t>
  </si>
  <si>
    <t>FE_nat.gas_EJ</t>
  </si>
  <si>
    <t>FE_coal_EJ</t>
  </si>
  <si>
    <t>FE_electricity_EJ</t>
  </si>
  <si>
    <t>FE_biofuels_waste_EJ</t>
  </si>
  <si>
    <t>FE_other_EJ</t>
  </si>
  <si>
    <t>CONVERSION MONETARY OUTPUT TO NON ENERGY USE OF FOSSIL FUELS</t>
  </si>
  <si>
    <t>oil_mat</t>
  </si>
  <si>
    <t>nat.gas_mat</t>
  </si>
  <si>
    <t>coal_mat</t>
  </si>
  <si>
    <t>total oil</t>
  </si>
  <si>
    <t>total gas</t>
  </si>
  <si>
    <t>total coal</t>
  </si>
  <si>
    <t>nuclear energy</t>
  </si>
  <si>
    <t>SHARE ENERGY TYPES IN FOSSIL ELECTRICITY</t>
  </si>
  <si>
    <t>oil</t>
  </si>
  <si>
    <t>gas</t>
  </si>
  <si>
    <t>coal</t>
  </si>
  <si>
    <t>CONVERSION FROM FOSSIL ELECTRICITY  TO PRIMARY ENERGY</t>
  </si>
  <si>
    <t>CONVERSION MONETARY OUTPUT TO ENERGY (EJ/mio. €)</t>
  </si>
  <si>
    <t>CONVERSION FACTOR  FINAL ENERGY TO PRIMARY ENERGY (WITHOUT FOSSIL ELECTRICITY)</t>
  </si>
  <si>
    <t>RECOVERABLE RESOURCES IN 2019 (EJ)</t>
  </si>
  <si>
    <t>Total fossil resources (Oil + Gas + Coal)</t>
  </si>
  <si>
    <t>Infrastructure land</t>
  </si>
  <si>
    <t>LAND</t>
  </si>
  <si>
    <t>INITIAL SECTORIAL LAND INTENSITIES (km²/mio. €)</t>
  </si>
  <si>
    <t>Land used for renewable energy generation</t>
  </si>
  <si>
    <t>Land used for food cultivation (croplands and pastures)</t>
  </si>
  <si>
    <t>Economically used forest</t>
  </si>
  <si>
    <t xml:space="preserve">Other land </t>
  </si>
  <si>
    <t>INITIAL SUBSISTENCE LAND INTENSITY (km²/person)</t>
  </si>
  <si>
    <t>Initial subsistence land intensity (km²/person)</t>
  </si>
  <si>
    <t>Initial infrastructure land intensity (km²/ mio. €)</t>
  </si>
  <si>
    <t>TARGET LAND INTENSITIES (km² / mio. €)</t>
  </si>
  <si>
    <t>Ppriority (FST1)</t>
  </si>
  <si>
    <t>Ppriority (FST5)</t>
  </si>
  <si>
    <t>Ptype (FST1 &amp; FST5)</t>
  </si>
  <si>
    <t>Pwidth (FST1 &amp; FST5)</t>
  </si>
  <si>
    <t>Pextra (FST1 &amp; FST5)</t>
  </si>
  <si>
    <t>Amount of land protected (km²) (FST 1 &amp; FST5)</t>
  </si>
  <si>
    <t>Ppriority (FST 1 &amp; FST5)</t>
  </si>
  <si>
    <t>TARGET SUBSISTENCE LAND INTENSITY (km² / person)</t>
  </si>
  <si>
    <t>LAND LOSS CLIMATE CHANGE (km²)</t>
  </si>
  <si>
    <t>Total foodland lost until 2100 due to river flooding</t>
  </si>
  <si>
    <t>Total foodland lost until 2100 due to temperature and humidity change</t>
  </si>
  <si>
    <t>GREENHOUSE GAS EMISSIONS INTENSITY</t>
  </si>
  <si>
    <t>other land</t>
  </si>
  <si>
    <t>Oil emissions</t>
  </si>
  <si>
    <t>STRESSORS</t>
  </si>
  <si>
    <t>CO2 (Mt /mio. €)</t>
  </si>
  <si>
    <t>CH4 (Mt / mio. €)</t>
  </si>
  <si>
    <t>N2O (Mt / mio. €)</t>
  </si>
  <si>
    <t>SF6 (tons / mio. €)</t>
  </si>
  <si>
    <t>HFC (tons / mio. €)</t>
  </si>
  <si>
    <t>PFC (tons / mio. €)</t>
  </si>
  <si>
    <t>MATERIAL EXTRACTION USED (kt/mio€)</t>
  </si>
  <si>
    <t>WATER CONSUMPTION &amp; WITHDRAWAL INDUSTRIAL INTENSITY (mm³ / mio. €)</t>
  </si>
  <si>
    <t>energy</t>
  </si>
  <si>
    <t>cropland &amp; pastures</t>
  </si>
  <si>
    <t>subsistence</t>
  </si>
  <si>
    <t>forest land</t>
  </si>
  <si>
    <t>primary forest</t>
  </si>
  <si>
    <t>secondary forest</t>
  </si>
  <si>
    <t>LAND USE CHANGE EMISSIONS INTENSITY (Mt CO2 / km²)</t>
  </si>
  <si>
    <t>Land used for subsitence</t>
  </si>
  <si>
    <t>FOSSIL FUEL EMISSION INTENSITY (refers to primary energy but only to those fossil resources which is are used for combustion) (Mt CO2 / EJ)</t>
  </si>
  <si>
    <t>Nat. gas emissions</t>
  </si>
  <si>
    <t>Coal emissions</t>
  </si>
  <si>
    <t>WATER INTENSITY OF HOUSEHOLD CONSUMPTION (mm³ / mio. €)</t>
  </si>
  <si>
    <t xml:space="preserve">Green water consumption </t>
  </si>
  <si>
    <t xml:space="preserve">Blue water consumption </t>
  </si>
  <si>
    <t>TARGET WATER CONSUMPTION &amp; WITHDRAWAL INDUSTRIAL INTENSITY (mm³ / mio€)</t>
  </si>
  <si>
    <t>TARGET WATER INTENSITY OF HOUSEHOLD CONSUMPTION (mm³ / mio. €)</t>
  </si>
  <si>
    <t>CLIMATE SCENARIO PARAMETERS</t>
  </si>
  <si>
    <t>FST 1 &amp; FST5</t>
  </si>
  <si>
    <t>Equilibrium climate sensitivity (°C)</t>
  </si>
  <si>
    <t>Temperature Threshold for Methane Emissions from Permafrost and Clathrate (°C)</t>
  </si>
  <si>
    <t>Reference Sensitivity of C from Permafrost and Clathrate to Temperature (Gt C / yr / °C)</t>
  </si>
  <si>
    <t>Reference Sensitivity of CH4 from Permafrost and Clathrate to Temperature (Mt / yr / °C)</t>
  </si>
  <si>
    <t>CLIMATE</t>
  </si>
  <si>
    <t>SWITCHES</t>
  </si>
  <si>
    <t>Switches can activate certain damages, scarcity factors or policies when they are set to 1.</t>
  </si>
  <si>
    <r>
      <t xml:space="preserve">Switch consumption target maximum value </t>
    </r>
    <r>
      <rPr>
        <i/>
        <sz val="11"/>
        <color theme="1"/>
        <rFont val="Calibri"/>
        <family val="2"/>
        <scheme val="minor"/>
      </rPr>
      <t>(sets growth rate to zero once a certain consumption target is reached)</t>
    </r>
  </si>
  <si>
    <t>Sensitivity of C Uptake to Temperature</t>
  </si>
  <si>
    <t>Sensitivity of Methane Emissions to Temperature</t>
  </si>
  <si>
    <t>Sensitivity of Methane Emissions to Permafrost and Clathrate</t>
  </si>
  <si>
    <t>Richest 20%</t>
  </si>
  <si>
    <t>Middle 50%</t>
  </si>
  <si>
    <t>Poorest 30%</t>
  </si>
  <si>
    <t>The sheet 'Model variables' contains the main variables used for the scenario simulations of FST1 and FST5. For more details regarding the model variables the MORDRED modul documenation available at Github (https://github.com/Pendracus/MORDRED/tree/main) can be consulted.</t>
  </si>
  <si>
    <t xml:space="preserve">The variables contained in the climate module of MORDRED are adapted from WILIAM ,and, thus, apart from the variables that can changed according to the scenario simulated, not listed  here.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</si>
</sst>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name val="Calibri"/>
      <family val="2"/>
      <scheme val="minor"/>
    </font>
    <font>
      <sz val="11"/>
      <color rgb="FF000000"/>
      <name val="Calibri"/>
      <family val="2"/>
      <scheme val="minor"/>
    </font>
    <font>
      <sz val="24"/>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theme="0"/>
        <bgColor indexed="64"/>
      </patternFill>
    </fill>
  </fills>
  <borders count="52">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right style="thin">
        <color indexed="64"/>
      </right>
      <top style="thin">
        <color indexed="64"/>
      </top>
      <bottom/>
      <diagonal/>
    </border>
  </borders>
  <cellStyleXfs count="1">
    <xf numFmtId="0" fontId="0" fillId="0" borderId="0"/>
  </cellStyleXfs>
  <cellXfs count="172">
    <xf numFmtId="0" fontId="0" fillId="0" borderId="0" xfId="0"/>
    <xf numFmtId="0" fontId="1" fillId="0" borderId="0" xfId="0" applyFont="1"/>
    <xf numFmtId="0" fontId="0" fillId="0" borderId="0" xfId="0" applyAlignment="1">
      <alignment wrapText="1"/>
    </xf>
    <xf numFmtId="0" fontId="1" fillId="0" borderId="0" xfId="0" applyFont="1" applyAlignment="1">
      <alignment horizontal="center"/>
    </xf>
    <xf numFmtId="0" fontId="0" fillId="0" borderId="37" xfId="0" applyBorder="1"/>
    <xf numFmtId="0" fontId="2" fillId="0" borderId="28"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11" xfId="0" applyFont="1" applyBorder="1" applyAlignment="1">
      <alignment horizontal="center" vertical="center" wrapText="1"/>
    </xf>
    <xf numFmtId="0" fontId="0" fillId="0" borderId="0" xfId="0" applyAlignment="1">
      <alignment vertical="center" wrapText="1"/>
    </xf>
    <xf numFmtId="0" fontId="2" fillId="0" borderId="12" xfId="0" applyFont="1" applyBorder="1" applyAlignment="1">
      <alignment horizontal="center" vertical="center" wrapText="1"/>
    </xf>
    <xf numFmtId="0" fontId="1" fillId="2" borderId="0" xfId="0" applyFont="1" applyFill="1"/>
    <xf numFmtId="0" fontId="0" fillId="2" borderId="0" xfId="0" applyFill="1"/>
    <xf numFmtId="0" fontId="1" fillId="0" borderId="0" xfId="0" applyFont="1" applyAlignment="1">
      <alignment vertical="center" wrapText="1"/>
    </xf>
    <xf numFmtId="0" fontId="0" fillId="0" borderId="0" xfId="0" applyAlignment="1">
      <alignment horizontal="center" vertical="center"/>
    </xf>
    <xf numFmtId="0" fontId="1" fillId="0" borderId="0" xfId="0" applyFont="1" applyAlignment="1">
      <alignment vertical="center"/>
    </xf>
    <xf numFmtId="0" fontId="4" fillId="0" borderId="0" xfId="0" applyFont="1"/>
    <xf numFmtId="0" fontId="2" fillId="0" borderId="0" xfId="0" applyFont="1" applyAlignment="1">
      <alignment horizontal="center" vertical="center" wrapText="1"/>
    </xf>
    <xf numFmtId="0" fontId="0" fillId="0" borderId="1" xfId="0" applyBorder="1"/>
    <xf numFmtId="0" fontId="3" fillId="0" borderId="1" xfId="0" applyFont="1" applyBorder="1" applyAlignment="1">
      <alignment vertical="center"/>
    </xf>
    <xf numFmtId="0" fontId="3" fillId="0" borderId="25" xfId="0" applyFont="1" applyBorder="1" applyAlignment="1">
      <alignment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3" xfId="0" applyFont="1" applyBorder="1" applyAlignment="1">
      <alignment horizontal="center"/>
    </xf>
    <xf numFmtId="0" fontId="1" fillId="0" borderId="2" xfId="0" applyFont="1" applyBorder="1" applyAlignment="1">
      <alignment horizontal="center"/>
    </xf>
    <xf numFmtId="0" fontId="1" fillId="0" borderId="4" xfId="0" applyFont="1" applyBorder="1" applyAlignment="1">
      <alignment horizontal="center"/>
    </xf>
    <xf numFmtId="0" fontId="1" fillId="0" borderId="20" xfId="0" applyFont="1" applyBorder="1" applyAlignment="1">
      <alignment vertical="center" wrapText="1"/>
    </xf>
    <xf numFmtId="0" fontId="1" fillId="0" borderId="9" xfId="0" applyFont="1" applyBorder="1" applyAlignment="1">
      <alignment vertical="center" wrapText="1"/>
    </xf>
    <xf numFmtId="0" fontId="0" fillId="0" borderId="0" xfId="0" applyAlignment="1">
      <alignment horizontal="center" vertical="center" wrapText="1"/>
    </xf>
    <xf numFmtId="0" fontId="1" fillId="0" borderId="34" xfId="0" applyFont="1" applyBorder="1" applyAlignment="1">
      <alignment vertical="center" wrapText="1"/>
    </xf>
    <xf numFmtId="0" fontId="1" fillId="0" borderId="35" xfId="0" applyFont="1" applyBorder="1" applyAlignment="1">
      <alignment vertical="center" wrapText="1"/>
    </xf>
    <xf numFmtId="0" fontId="1" fillId="0" borderId="1" xfId="0" applyFont="1" applyBorder="1" applyAlignment="1">
      <alignment vertical="center" wrapText="1"/>
    </xf>
    <xf numFmtId="0" fontId="1" fillId="0" borderId="5" xfId="0" applyFont="1" applyBorder="1" applyAlignment="1">
      <alignment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6" xfId="0" applyFont="1" applyBorder="1" applyAlignment="1">
      <alignment horizontal="center" vertical="center" wrapText="1"/>
    </xf>
    <xf numFmtId="0" fontId="1" fillId="0" borderId="0" xfId="0" applyFont="1" applyAlignment="1">
      <alignment horizontal="center" vertical="center" wrapText="1"/>
    </xf>
    <xf numFmtId="0" fontId="5" fillId="0" borderId="0" xfId="0" applyFont="1"/>
    <xf numFmtId="0" fontId="5" fillId="0" borderId="0" xfId="0" applyFont="1" applyAlignment="1">
      <alignment horizontal="center" vertical="center" wrapText="1"/>
    </xf>
    <xf numFmtId="0" fontId="1" fillId="0" borderId="30" xfId="0" applyFont="1" applyBorder="1" applyAlignment="1">
      <alignment horizontal="center"/>
    </xf>
    <xf numFmtId="0" fontId="2" fillId="0" borderId="27" xfId="0" applyFont="1" applyBorder="1" applyAlignment="1">
      <alignment horizontal="center" vertical="center" wrapText="1"/>
    </xf>
    <xf numFmtId="0" fontId="2" fillId="0" borderId="29" xfId="0" applyFont="1" applyBorder="1" applyAlignment="1">
      <alignment horizontal="center" vertical="center" wrapText="1"/>
    </xf>
    <xf numFmtId="0" fontId="1" fillId="0" borderId="36" xfId="0" applyFont="1" applyBorder="1" applyAlignment="1">
      <alignment vertical="center" wrapText="1"/>
    </xf>
    <xf numFmtId="0" fontId="1" fillId="0" borderId="13" xfId="0" applyFont="1" applyBorder="1" applyAlignment="1">
      <alignment vertical="center" wrapText="1"/>
    </xf>
    <xf numFmtId="0" fontId="0" fillId="0" borderId="11" xfId="0" applyBorder="1" applyAlignment="1">
      <alignment horizontal="center" vertical="center"/>
    </xf>
    <xf numFmtId="0" fontId="0" fillId="0" borderId="11" xfId="0" applyBorder="1"/>
    <xf numFmtId="0" fontId="0" fillId="0" borderId="7" xfId="0" applyBorder="1" applyAlignment="1">
      <alignment horizontal="center" vertical="center"/>
    </xf>
    <xf numFmtId="0" fontId="2" fillId="0" borderId="4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4" xfId="0" applyFont="1" applyBorder="1" applyAlignment="1">
      <alignment horizontal="center" vertical="center" wrapText="1"/>
    </xf>
    <xf numFmtId="0" fontId="1" fillId="0" borderId="47" xfId="0" applyFont="1" applyBorder="1" applyAlignment="1">
      <alignment vertical="center" wrapText="1"/>
    </xf>
    <xf numFmtId="0" fontId="2" fillId="0" borderId="31"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3" xfId="0" applyFont="1" applyBorder="1" applyAlignment="1">
      <alignment horizontal="center" vertical="center" wrapText="1"/>
    </xf>
    <xf numFmtId="0" fontId="1" fillId="0" borderId="35" xfId="0" applyFont="1" applyBorder="1" applyAlignment="1">
      <alignment vertical="center"/>
    </xf>
    <xf numFmtId="0" fontId="1" fillId="0" borderId="22" xfId="0" applyFont="1" applyBorder="1" applyAlignment="1">
      <alignment vertical="center" wrapText="1"/>
    </xf>
    <xf numFmtId="0" fontId="1" fillId="0" borderId="23" xfId="0" applyFont="1" applyBorder="1" applyAlignment="1">
      <alignment vertical="center" wrapText="1"/>
    </xf>
    <xf numFmtId="0" fontId="1" fillId="0" borderId="26" xfId="0" applyFont="1" applyBorder="1" applyAlignment="1">
      <alignment vertical="center" wrapText="1"/>
    </xf>
    <xf numFmtId="0" fontId="1" fillId="0" borderId="3" xfId="0" applyFont="1" applyBorder="1" applyAlignment="1">
      <alignment vertical="center" wrapText="1"/>
    </xf>
    <xf numFmtId="0" fontId="0" fillId="0" borderId="33" xfId="0" applyBorder="1" applyAlignment="1">
      <alignment horizontal="center" vertical="center" wrapText="1"/>
    </xf>
    <xf numFmtId="0" fontId="2" fillId="0" borderId="20" xfId="0" applyFont="1" applyBorder="1" applyAlignment="1">
      <alignment horizontal="center" vertical="center" wrapText="1"/>
    </xf>
    <xf numFmtId="0" fontId="2" fillId="0" borderId="46" xfId="0" applyFont="1" applyBorder="1" applyAlignment="1">
      <alignment horizontal="center" vertical="center" wrapText="1"/>
    </xf>
    <xf numFmtId="0" fontId="1" fillId="0" borderId="19" xfId="0" applyFont="1" applyBorder="1" applyAlignment="1">
      <alignment horizontal="center"/>
    </xf>
    <xf numFmtId="0" fontId="0" fillId="0" borderId="40" xfId="0" applyBorder="1" applyAlignment="1">
      <alignment horizontal="center" vertical="center" wrapText="1"/>
    </xf>
    <xf numFmtId="0" fontId="0" fillId="0" borderId="41" xfId="0" applyBorder="1" applyAlignment="1">
      <alignment horizontal="center" vertical="center" wrapText="1"/>
    </xf>
    <xf numFmtId="0" fontId="0" fillId="0" borderId="20" xfId="0" applyBorder="1" applyAlignment="1">
      <alignment horizontal="center" vertical="center" wrapText="1"/>
    </xf>
    <xf numFmtId="0" fontId="0" fillId="0" borderId="9" xfId="0" applyBorder="1" applyAlignment="1">
      <alignment horizontal="center" vertical="center" wrapText="1"/>
    </xf>
    <xf numFmtId="0" fontId="0" fillId="0" borderId="13" xfId="0" applyBorder="1" applyAlignment="1">
      <alignment horizontal="center" vertical="center" wrapText="1"/>
    </xf>
    <xf numFmtId="0" fontId="0" fillId="0" borderId="48" xfId="0" applyBorder="1" applyAlignment="1">
      <alignment horizontal="center" vertical="center" wrapText="1"/>
    </xf>
    <xf numFmtId="0" fontId="0" fillId="0" borderId="1" xfId="0" applyBorder="1" applyAlignment="1">
      <alignment horizontal="center" vertical="center" wrapText="1"/>
    </xf>
    <xf numFmtId="0" fontId="0" fillId="0" borderId="31" xfId="0" applyBorder="1"/>
    <xf numFmtId="0" fontId="2" fillId="0" borderId="20" xfId="0" applyFont="1" applyBorder="1" applyAlignment="1">
      <alignment horizontal="left" vertical="center" wrapText="1"/>
    </xf>
    <xf numFmtId="0" fontId="2" fillId="0" borderId="9" xfId="0" applyFont="1" applyBorder="1" applyAlignment="1">
      <alignment horizontal="left" vertical="center" wrapText="1"/>
    </xf>
    <xf numFmtId="0" fontId="2" fillId="0" borderId="13" xfId="0" applyFont="1" applyBorder="1" applyAlignment="1">
      <alignment horizontal="left" vertical="center" wrapText="1"/>
    </xf>
    <xf numFmtId="0" fontId="2" fillId="0" borderId="0" xfId="0" applyFont="1" applyAlignment="1">
      <alignment horizontal="left" vertical="center" wrapText="1"/>
    </xf>
    <xf numFmtId="0" fontId="2" fillId="0" borderId="1" xfId="0" applyFont="1" applyBorder="1" applyAlignment="1">
      <alignment horizontal="center" vertical="center" wrapText="1"/>
    </xf>
    <xf numFmtId="0" fontId="1" fillId="0" borderId="2" xfId="0" applyFont="1" applyBorder="1"/>
    <xf numFmtId="0" fontId="1" fillId="0" borderId="4" xfId="0" applyFont="1" applyBorder="1"/>
    <xf numFmtId="0" fontId="0" fillId="0" borderId="0" xfId="0" applyAlignment="1">
      <alignment horizontal="center"/>
    </xf>
    <xf numFmtId="0" fontId="1" fillId="0" borderId="20" xfId="0" applyFont="1" applyBorder="1" applyAlignment="1">
      <alignment vertical="center"/>
    </xf>
    <xf numFmtId="0" fontId="0" fillId="0" borderId="22" xfId="0" applyBorder="1" applyAlignment="1">
      <alignment horizontal="center" vertical="center"/>
    </xf>
    <xf numFmtId="0" fontId="0" fillId="0" borderId="38" xfId="0" applyBorder="1" applyAlignment="1">
      <alignment horizontal="center" vertical="center"/>
    </xf>
    <xf numFmtId="0" fontId="1" fillId="0" borderId="9" xfId="0" applyFont="1" applyBorder="1" applyAlignment="1">
      <alignment vertical="center"/>
    </xf>
    <xf numFmtId="0" fontId="0" fillId="0" borderId="24" xfId="0" applyBorder="1" applyAlignment="1">
      <alignment horizontal="center" vertical="center"/>
    </xf>
    <xf numFmtId="0" fontId="0" fillId="0" borderId="12" xfId="0" applyBorder="1" applyAlignment="1">
      <alignment horizontal="center" vertical="center"/>
    </xf>
    <xf numFmtId="0" fontId="1" fillId="0" borderId="13" xfId="0" applyFont="1" applyBorder="1" applyAlignment="1">
      <alignment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21" xfId="0" applyBorder="1" applyAlignment="1">
      <alignment horizontal="center" vertical="center"/>
    </xf>
    <xf numFmtId="0" fontId="1" fillId="0" borderId="1" xfId="0" applyFont="1" applyBorder="1" applyAlignment="1">
      <alignment vertical="center"/>
    </xf>
    <xf numFmtId="0" fontId="0" fillId="0" borderId="33" xfId="0" applyBorder="1" applyAlignment="1">
      <alignment horizontal="center" vertical="center"/>
    </xf>
    <xf numFmtId="0" fontId="0" fillId="0" borderId="29" xfId="0" applyBorder="1" applyAlignment="1">
      <alignment horizontal="center" vertical="center"/>
    </xf>
    <xf numFmtId="0" fontId="3" fillId="0" borderId="0" xfId="0" applyFont="1"/>
    <xf numFmtId="0" fontId="0" fillId="0" borderId="45" xfId="0" applyBorder="1" applyAlignment="1">
      <alignment horizontal="center" vertical="center"/>
    </xf>
    <xf numFmtId="0" fontId="0" fillId="0" borderId="14" xfId="0" applyBorder="1" applyAlignment="1">
      <alignment horizontal="center" vertical="center"/>
    </xf>
    <xf numFmtId="0" fontId="0" fillId="0" borderId="20" xfId="0" applyBorder="1" applyAlignment="1">
      <alignment horizontal="center" vertical="center"/>
    </xf>
    <xf numFmtId="0" fontId="0" fillId="0" borderId="25" xfId="0" applyBorder="1" applyAlignment="1">
      <alignment horizontal="center" vertical="center"/>
    </xf>
    <xf numFmtId="0" fontId="2" fillId="0" borderId="45"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41" xfId="0" applyFont="1" applyBorder="1" applyAlignment="1">
      <alignment horizontal="center" vertical="center" wrapText="1"/>
    </xf>
    <xf numFmtId="0" fontId="1" fillId="0" borderId="24" xfId="0" applyFont="1" applyBorder="1" applyAlignment="1">
      <alignment vertical="center" wrapText="1"/>
    </xf>
    <xf numFmtId="0" fontId="1" fillId="0" borderId="27" xfId="0" applyFont="1" applyBorder="1" applyAlignment="1">
      <alignment vertical="center" wrapText="1"/>
    </xf>
    <xf numFmtId="0" fontId="1" fillId="0" borderId="17" xfId="0" applyFont="1" applyBorder="1"/>
    <xf numFmtId="0" fontId="1" fillId="0" borderId="11" xfId="0" applyFont="1" applyBorder="1" applyAlignment="1">
      <alignment vertical="center" wrapText="1"/>
    </xf>
    <xf numFmtId="0" fontId="5" fillId="0" borderId="0" xfId="0" applyFont="1" applyAlignment="1">
      <alignment vertical="center"/>
    </xf>
    <xf numFmtId="0" fontId="1" fillId="0" borderId="1" xfId="0" applyFont="1" applyBorder="1" applyAlignment="1">
      <alignment horizontal="center"/>
    </xf>
    <xf numFmtId="0" fontId="0" fillId="0" borderId="19" xfId="0" applyBorder="1" applyAlignment="1">
      <alignment horizontal="center" vertical="center"/>
    </xf>
    <xf numFmtId="0" fontId="1" fillId="0" borderId="1" xfId="0" applyFont="1" applyBorder="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21" xfId="0" applyBorder="1"/>
    <xf numFmtId="0" fontId="0" fillId="0" borderId="29" xfId="0" applyBorder="1"/>
    <xf numFmtId="0" fontId="1" fillId="0" borderId="49" xfId="0" applyFont="1" applyBorder="1"/>
    <xf numFmtId="0" fontId="0" fillId="0" borderId="12" xfId="0" applyBorder="1"/>
    <xf numFmtId="0" fontId="1" fillId="0" borderId="50" xfId="0" applyFont="1" applyBorder="1"/>
    <xf numFmtId="0" fontId="0" fillId="0" borderId="15" xfId="0" applyBorder="1"/>
    <xf numFmtId="0" fontId="0" fillId="0" borderId="16" xfId="0" applyBorder="1"/>
    <xf numFmtId="0" fontId="1" fillId="0" borderId="31" xfId="0" applyFont="1" applyBorder="1"/>
    <xf numFmtId="0" fontId="1" fillId="0" borderId="32" xfId="0" applyFont="1" applyBorder="1"/>
    <xf numFmtId="0" fontId="1" fillId="0" borderId="33" xfId="0" applyFont="1" applyBorder="1"/>
    <xf numFmtId="0" fontId="0" fillId="0" borderId="4" xfId="0" applyBorder="1" applyAlignment="1">
      <alignment horizontal="center" vertical="center"/>
    </xf>
    <xf numFmtId="0" fontId="2" fillId="0" borderId="4" xfId="0" applyFont="1" applyBorder="1" applyAlignment="1">
      <alignment horizontal="center" vertical="center" wrapText="1"/>
    </xf>
    <xf numFmtId="0" fontId="0" fillId="0" borderId="1" xfId="0" applyBorder="1" applyAlignment="1">
      <alignment vertical="center" wrapText="1"/>
    </xf>
    <xf numFmtId="0" fontId="5" fillId="0" borderId="17"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1" xfId="0" applyFont="1" applyBorder="1" applyAlignment="1">
      <alignment horizontal="center" vertical="center" wrapText="1"/>
    </xf>
    <xf numFmtId="0" fontId="0" fillId="0" borderId="7" xfId="0" applyBorder="1"/>
    <xf numFmtId="0" fontId="1" fillId="0" borderId="31" xfId="0" applyFont="1" applyBorder="1" applyAlignment="1">
      <alignment horizontal="center"/>
    </xf>
    <xf numFmtId="0" fontId="1" fillId="0" borderId="32" xfId="0" applyFont="1" applyBorder="1" applyAlignment="1">
      <alignment horizontal="center"/>
    </xf>
    <xf numFmtId="0" fontId="1" fillId="0" borderId="33" xfId="0" applyFont="1" applyBorder="1" applyAlignment="1">
      <alignment horizontal="center"/>
    </xf>
    <xf numFmtId="0" fontId="0" fillId="0" borderId="38" xfId="0" applyBorder="1"/>
    <xf numFmtId="0" fontId="0" fillId="0" borderId="8" xfId="0" applyBorder="1"/>
    <xf numFmtId="0" fontId="0" fillId="0" borderId="24" xfId="0" applyBorder="1"/>
    <xf numFmtId="0" fontId="0" fillId="0" borderId="27" xfId="0" applyBorder="1"/>
    <xf numFmtId="0" fontId="5" fillId="0" borderId="19" xfId="0" applyFont="1" applyBorder="1" applyAlignment="1">
      <alignment horizontal="center" vertical="center" wrapText="1"/>
    </xf>
    <xf numFmtId="0" fontId="5" fillId="0" borderId="25" xfId="0" applyFont="1" applyBorder="1" applyAlignment="1">
      <alignment horizontal="center" vertical="center" wrapText="1"/>
    </xf>
    <xf numFmtId="0" fontId="5" fillId="0" borderId="19" xfId="0" applyFont="1" applyBorder="1" applyAlignment="1">
      <alignment vertical="center" wrapText="1"/>
    </xf>
    <xf numFmtId="0" fontId="5" fillId="0" borderId="25" xfId="0" applyFont="1" applyBorder="1"/>
    <xf numFmtId="0" fontId="0" fillId="0" borderId="28" xfId="0" applyBorder="1"/>
    <xf numFmtId="0" fontId="0" fillId="0" borderId="27"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21" xfId="0" applyBorder="1" applyAlignment="1">
      <alignment horizontal="center"/>
    </xf>
    <xf numFmtId="0" fontId="0" fillId="0" borderId="29" xfId="0" applyBorder="1" applyAlignment="1">
      <alignment horizontal="center"/>
    </xf>
    <xf numFmtId="0" fontId="2" fillId="0" borderId="38" xfId="0" applyFont="1" applyBorder="1" applyAlignment="1">
      <alignment horizontal="center" vertical="center" wrapText="1"/>
    </xf>
    <xf numFmtId="0" fontId="0" fillId="0" borderId="28" xfId="0" applyBorder="1" applyAlignment="1">
      <alignment horizontal="center" vertical="center"/>
    </xf>
    <xf numFmtId="0" fontId="0" fillId="0" borderId="9" xfId="0" applyBorder="1" applyAlignment="1">
      <alignment horizontal="center" vertical="center"/>
    </xf>
    <xf numFmtId="0" fontId="0" fillId="0" borderId="13" xfId="0" applyBorder="1" applyAlignment="1">
      <alignment horizontal="center" vertical="center"/>
    </xf>
    <xf numFmtId="0" fontId="0" fillId="0" borderId="23" xfId="0" applyBorder="1"/>
    <xf numFmtId="0" fontId="1" fillId="0" borderId="28" xfId="0" applyFont="1" applyBorder="1" applyAlignment="1">
      <alignment horizontal="center"/>
    </xf>
    <xf numFmtId="0" fontId="1" fillId="0" borderId="21" xfId="0" applyFont="1" applyBorder="1" applyAlignment="1">
      <alignment horizontal="center"/>
    </xf>
    <xf numFmtId="0" fontId="1" fillId="0" borderId="29" xfId="0" applyFont="1" applyBorder="1" applyAlignment="1">
      <alignment horizontal="center"/>
    </xf>
    <xf numFmtId="0" fontId="1" fillId="0" borderId="20" xfId="0" applyFont="1" applyBorder="1" applyAlignment="1">
      <alignment horizontal="center"/>
    </xf>
    <xf numFmtId="0" fontId="0" fillId="0" borderId="8"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0" xfId="0" applyBorder="1"/>
    <xf numFmtId="0" fontId="1" fillId="0" borderId="0" xfId="0" applyFont="1" applyBorder="1" applyAlignment="1">
      <alignment horizontal="center"/>
    </xf>
    <xf numFmtId="0" fontId="2" fillId="0" borderId="0" xfId="0" applyFont="1" applyBorder="1" applyAlignment="1">
      <alignment horizontal="center" vertical="center" wrapText="1"/>
    </xf>
    <xf numFmtId="0" fontId="0" fillId="0" borderId="1" xfId="0" applyBorder="1" applyAlignment="1">
      <alignment horizontal="center" vertical="center"/>
    </xf>
    <xf numFmtId="0" fontId="1" fillId="0" borderId="23" xfId="0" applyFont="1" applyBorder="1"/>
    <xf numFmtId="0" fontId="2" fillId="0" borderId="51" xfId="0" applyFont="1" applyBorder="1" applyAlignment="1">
      <alignment horizontal="center" vertical="center" wrapText="1"/>
    </xf>
    <xf numFmtId="0" fontId="1" fillId="0" borderId="19" xfId="0" applyFont="1" applyBorder="1" applyAlignment="1">
      <alignment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election activeCell="A3" sqref="A3"/>
    </sheetView>
  </sheetViews>
  <sheetFormatPr baseColWidth="10" defaultRowHeight="14.4" x14ac:dyDescent="0.3"/>
  <cols>
    <col min="1" max="1" width="76.44140625" customWidth="1"/>
  </cols>
  <sheetData>
    <row r="1" spans="1:1" ht="29.4" customHeight="1" x14ac:dyDescent="0.3">
      <c r="A1" s="2" t="s">
        <v>241</v>
      </c>
    </row>
    <row r="2" spans="1:1" ht="57.6" x14ac:dyDescent="0.3">
      <c r="A2" s="2" t="s">
        <v>332</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F9FF3-3E86-427B-88B8-BE0CF341EF7A}">
  <dimension ref="A1:B28"/>
  <sheetViews>
    <sheetView workbookViewId="0">
      <selection activeCell="D4" sqref="D4"/>
    </sheetView>
  </sheetViews>
  <sheetFormatPr baseColWidth="10" defaultRowHeight="14.4" x14ac:dyDescent="0.3"/>
  <cols>
    <col min="1" max="1" width="14.88671875" customWidth="1"/>
    <col min="2" max="2" width="57" customWidth="1"/>
  </cols>
  <sheetData>
    <row r="1" spans="1:2" x14ac:dyDescent="0.3">
      <c r="A1" s="1" t="s">
        <v>133</v>
      </c>
    </row>
    <row r="2" spans="1:2" ht="15" thickBot="1" x14ac:dyDescent="0.35">
      <c r="A2" s="1"/>
    </row>
    <row r="3" spans="1:2" ht="15" thickBot="1" x14ac:dyDescent="0.35">
      <c r="A3" s="18" t="s">
        <v>106</v>
      </c>
      <c r="B3" s="18" t="s">
        <v>107</v>
      </c>
    </row>
    <row r="4" spans="1:2" ht="15" thickBot="1" x14ac:dyDescent="0.35">
      <c r="A4">
        <f>1</f>
        <v>1</v>
      </c>
      <c r="B4" s="19" t="s">
        <v>108</v>
      </c>
    </row>
    <row r="5" spans="1:2" ht="15" thickBot="1" x14ac:dyDescent="0.35">
      <c r="A5">
        <f>A4+1</f>
        <v>2</v>
      </c>
      <c r="B5" s="20" t="s">
        <v>109</v>
      </c>
    </row>
    <row r="6" spans="1:2" ht="15" thickBot="1" x14ac:dyDescent="0.35">
      <c r="A6">
        <f t="shared" ref="A6:A28" si="0">A5+1</f>
        <v>3</v>
      </c>
      <c r="B6" s="19" t="s">
        <v>110</v>
      </c>
    </row>
    <row r="7" spans="1:2" ht="15" thickBot="1" x14ac:dyDescent="0.35">
      <c r="A7">
        <f t="shared" si="0"/>
        <v>4</v>
      </c>
      <c r="B7" s="20" t="s">
        <v>111</v>
      </c>
    </row>
    <row r="8" spans="1:2" ht="15" thickBot="1" x14ac:dyDescent="0.35">
      <c r="A8">
        <f t="shared" si="0"/>
        <v>5</v>
      </c>
      <c r="B8" s="20" t="s">
        <v>112</v>
      </c>
    </row>
    <row r="9" spans="1:2" ht="15" thickBot="1" x14ac:dyDescent="0.35">
      <c r="A9">
        <f t="shared" si="0"/>
        <v>6</v>
      </c>
      <c r="B9" s="20" t="s">
        <v>113</v>
      </c>
    </row>
    <row r="10" spans="1:2" ht="15" thickBot="1" x14ac:dyDescent="0.35">
      <c r="A10">
        <f t="shared" si="0"/>
        <v>7</v>
      </c>
      <c r="B10" s="20" t="s">
        <v>114</v>
      </c>
    </row>
    <row r="11" spans="1:2" ht="15" thickBot="1" x14ac:dyDescent="0.35">
      <c r="A11">
        <f t="shared" si="0"/>
        <v>8</v>
      </c>
      <c r="B11" s="20" t="s">
        <v>115</v>
      </c>
    </row>
    <row r="12" spans="1:2" ht="15" thickBot="1" x14ac:dyDescent="0.35">
      <c r="A12">
        <f t="shared" si="0"/>
        <v>9</v>
      </c>
      <c r="B12" s="20" t="s">
        <v>116</v>
      </c>
    </row>
    <row r="13" spans="1:2" ht="15" thickBot="1" x14ac:dyDescent="0.35">
      <c r="A13">
        <f t="shared" si="0"/>
        <v>10</v>
      </c>
      <c r="B13" s="20" t="s">
        <v>117</v>
      </c>
    </row>
    <row r="14" spans="1:2" ht="15" thickBot="1" x14ac:dyDescent="0.35">
      <c r="A14">
        <f t="shared" si="0"/>
        <v>11</v>
      </c>
      <c r="B14" s="20" t="s">
        <v>118</v>
      </c>
    </row>
    <row r="15" spans="1:2" ht="15" thickBot="1" x14ac:dyDescent="0.35">
      <c r="A15">
        <f t="shared" si="0"/>
        <v>12</v>
      </c>
      <c r="B15" s="20" t="s">
        <v>119</v>
      </c>
    </row>
    <row r="16" spans="1:2" ht="15" thickBot="1" x14ac:dyDescent="0.35">
      <c r="A16">
        <f t="shared" si="0"/>
        <v>13</v>
      </c>
      <c r="B16" s="20" t="s">
        <v>120</v>
      </c>
    </row>
    <row r="17" spans="1:2" ht="15" thickBot="1" x14ac:dyDescent="0.35">
      <c r="A17">
        <f t="shared" si="0"/>
        <v>14</v>
      </c>
      <c r="B17" s="20" t="s">
        <v>121</v>
      </c>
    </row>
    <row r="18" spans="1:2" ht="15" thickBot="1" x14ac:dyDescent="0.35">
      <c r="A18">
        <f t="shared" si="0"/>
        <v>15</v>
      </c>
      <c r="B18" s="20" t="s">
        <v>122</v>
      </c>
    </row>
    <row r="19" spans="1:2" ht="15" thickBot="1" x14ac:dyDescent="0.35">
      <c r="A19">
        <f t="shared" si="0"/>
        <v>16</v>
      </c>
      <c r="B19" s="20" t="s">
        <v>123</v>
      </c>
    </row>
    <row r="20" spans="1:2" ht="15" thickBot="1" x14ac:dyDescent="0.35">
      <c r="A20">
        <f t="shared" si="0"/>
        <v>17</v>
      </c>
      <c r="B20" s="20" t="s">
        <v>124</v>
      </c>
    </row>
    <row r="21" spans="1:2" ht="15" thickBot="1" x14ac:dyDescent="0.35">
      <c r="A21">
        <f t="shared" si="0"/>
        <v>18</v>
      </c>
      <c r="B21" s="20" t="s">
        <v>125</v>
      </c>
    </row>
    <row r="22" spans="1:2" ht="15" thickBot="1" x14ac:dyDescent="0.35">
      <c r="A22">
        <f t="shared" si="0"/>
        <v>19</v>
      </c>
      <c r="B22" s="20" t="s">
        <v>126</v>
      </c>
    </row>
    <row r="23" spans="1:2" ht="15" thickBot="1" x14ac:dyDescent="0.35">
      <c r="A23">
        <f t="shared" si="0"/>
        <v>20</v>
      </c>
      <c r="B23" s="20" t="s">
        <v>127</v>
      </c>
    </row>
    <row r="24" spans="1:2" ht="15" thickBot="1" x14ac:dyDescent="0.35">
      <c r="A24">
        <f t="shared" si="0"/>
        <v>21</v>
      </c>
      <c r="B24" s="20" t="s">
        <v>128</v>
      </c>
    </row>
    <row r="25" spans="1:2" ht="15" thickBot="1" x14ac:dyDescent="0.35">
      <c r="A25">
        <f t="shared" si="0"/>
        <v>22</v>
      </c>
      <c r="B25" s="20" t="s">
        <v>129</v>
      </c>
    </row>
    <row r="26" spans="1:2" ht="15" thickBot="1" x14ac:dyDescent="0.35">
      <c r="A26">
        <f t="shared" si="0"/>
        <v>23</v>
      </c>
      <c r="B26" s="20" t="s">
        <v>130</v>
      </c>
    </row>
    <row r="27" spans="1:2" ht="15" thickBot="1" x14ac:dyDescent="0.35">
      <c r="A27">
        <f t="shared" si="0"/>
        <v>24</v>
      </c>
      <c r="B27" s="20" t="s">
        <v>131</v>
      </c>
    </row>
    <row r="28" spans="1:2" ht="15" thickBot="1" x14ac:dyDescent="0.35">
      <c r="A28" s="4">
        <f t="shared" si="0"/>
        <v>25</v>
      </c>
      <c r="B28" s="20" t="s">
        <v>132</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E513"/>
  <sheetViews>
    <sheetView tabSelected="1" topLeftCell="A470" zoomScale="89" zoomScaleNormal="89" workbookViewId="0">
      <selection activeCell="A489" sqref="A489"/>
    </sheetView>
  </sheetViews>
  <sheetFormatPr baseColWidth="10" defaultRowHeight="14.4" x14ac:dyDescent="0.3"/>
  <cols>
    <col min="1" max="1" width="24.109375" customWidth="1"/>
    <col min="2" max="2" width="36.44140625" customWidth="1"/>
    <col min="3" max="3" width="34" customWidth="1"/>
    <col min="4" max="4" width="14.88671875" bestFit="1" customWidth="1"/>
    <col min="5" max="12" width="17.5546875" customWidth="1"/>
    <col min="13" max="13" width="20.88671875" customWidth="1"/>
    <col min="14" max="17" width="17.5546875" customWidth="1"/>
    <col min="18" max="18" width="14.88671875" bestFit="1" customWidth="1"/>
    <col min="19" max="24" width="12.109375" bestFit="1" customWidth="1"/>
    <col min="82" max="82" width="11.44140625" bestFit="1" customWidth="1"/>
  </cols>
  <sheetData>
    <row r="1" spans="1:26" ht="31.2" x14ac:dyDescent="0.6">
      <c r="A1" s="16" t="s">
        <v>134</v>
      </c>
    </row>
    <row r="2" spans="1:26" ht="15" thickBot="1" x14ac:dyDescent="0.35">
      <c r="A2" s="1" t="s">
        <v>147</v>
      </c>
    </row>
    <row r="3" spans="1:26" ht="15" thickBot="1" x14ac:dyDescent="0.35">
      <c r="A3" s="31" t="s">
        <v>0</v>
      </c>
      <c r="B3" s="24">
        <v>1</v>
      </c>
      <c r="C3" s="24">
        <v>2</v>
      </c>
      <c r="D3" s="24">
        <v>3</v>
      </c>
      <c r="E3" s="24">
        <v>4</v>
      </c>
      <c r="F3" s="24">
        <v>5</v>
      </c>
      <c r="G3" s="24">
        <v>6</v>
      </c>
      <c r="H3" s="24">
        <v>7</v>
      </c>
      <c r="I3" s="24">
        <v>8</v>
      </c>
      <c r="J3" s="24">
        <v>9</v>
      </c>
      <c r="K3" s="24">
        <v>10</v>
      </c>
      <c r="L3" s="24">
        <v>11</v>
      </c>
      <c r="M3" s="24">
        <v>12</v>
      </c>
      <c r="N3" s="24">
        <v>13</v>
      </c>
      <c r="O3" s="24">
        <v>14</v>
      </c>
      <c r="P3" s="24">
        <v>15</v>
      </c>
      <c r="Q3" s="24">
        <v>16</v>
      </c>
      <c r="R3" s="24">
        <v>17</v>
      </c>
      <c r="S3" s="24">
        <v>18</v>
      </c>
      <c r="T3" s="23">
        <v>19</v>
      </c>
      <c r="U3" s="24">
        <v>20</v>
      </c>
      <c r="V3" s="24">
        <v>21</v>
      </c>
      <c r="W3" s="24">
        <v>22</v>
      </c>
      <c r="X3" s="24">
        <v>23</v>
      </c>
      <c r="Y3" s="24">
        <v>24</v>
      </c>
      <c r="Z3" s="25">
        <v>25</v>
      </c>
    </row>
    <row r="4" spans="1:26" ht="14.4" customHeight="1" x14ac:dyDescent="0.3">
      <c r="A4" s="54" t="s">
        <v>1</v>
      </c>
      <c r="B4" s="33">
        <v>0.3667644370670145</v>
      </c>
      <c r="C4" s="34">
        <v>5.6936153557802578E-2</v>
      </c>
      <c r="D4" s="34">
        <v>3.442944016557814E-3</v>
      </c>
      <c r="E4" s="34">
        <v>1.0136938011790161E-2</v>
      </c>
      <c r="F4" s="34">
        <v>6.1847568492036922E-3</v>
      </c>
      <c r="G4" s="34">
        <v>0</v>
      </c>
      <c r="H4" s="34">
        <v>1.717513463927204E-2</v>
      </c>
      <c r="I4" s="34">
        <v>5.0141643913594099E-3</v>
      </c>
      <c r="J4" s="34">
        <v>3.7815585782902172E-2</v>
      </c>
      <c r="K4" s="34">
        <v>3.5500921793597477E-2</v>
      </c>
      <c r="L4" s="34">
        <v>3.393825457012771E-3</v>
      </c>
      <c r="M4" s="34">
        <v>5.3878729391825557E-3</v>
      </c>
      <c r="N4" s="34">
        <v>2.7798432323902179E-3</v>
      </c>
      <c r="O4" s="34">
        <v>5.038170742390438E-3</v>
      </c>
      <c r="P4" s="34">
        <v>1.433003571614995E-2</v>
      </c>
      <c r="Q4" s="34">
        <v>1.8052083171968051E-2</v>
      </c>
      <c r="R4" s="34">
        <v>1.200125576651073E-2</v>
      </c>
      <c r="S4" s="34">
        <v>5.6387895162083744E-4</v>
      </c>
      <c r="T4" s="34">
        <v>4.1779811918545157E-3</v>
      </c>
      <c r="U4" s="34">
        <v>1.932807798943252E-3</v>
      </c>
      <c r="V4" s="34">
        <v>9.6009390723815237E-3</v>
      </c>
      <c r="W4" s="34">
        <v>6.8781522715970567E-3</v>
      </c>
      <c r="X4" s="34">
        <v>1.8393202038955399E-2</v>
      </c>
      <c r="Y4" s="34">
        <v>8.3612088645359049E-3</v>
      </c>
      <c r="Z4" s="35">
        <v>5.6125556400721151E-3</v>
      </c>
    </row>
    <row r="5" spans="1:26" x14ac:dyDescent="0.3">
      <c r="A5" s="30" t="s">
        <v>2</v>
      </c>
      <c r="B5" s="36">
        <v>1.0473214242541886E-2</v>
      </c>
      <c r="C5" s="8">
        <v>0.32533491598964143</v>
      </c>
      <c r="D5" s="8">
        <v>1.127420056774318E-3</v>
      </c>
      <c r="E5" s="8">
        <v>3.642853050720451E-3</v>
      </c>
      <c r="F5" s="8">
        <v>1.1908302211003091E-2</v>
      </c>
      <c r="G5" s="8">
        <v>0</v>
      </c>
      <c r="H5" s="8">
        <v>6.8454588804570437E-3</v>
      </c>
      <c r="I5" s="8">
        <v>8.0281680797446818E-4</v>
      </c>
      <c r="J5" s="8">
        <v>2.9129340917036051E-2</v>
      </c>
      <c r="K5" s="8">
        <v>1.0982711360806771E-2</v>
      </c>
      <c r="L5" s="8">
        <v>1.118508998907407E-2</v>
      </c>
      <c r="M5" s="8">
        <v>2.7317750252388029E-3</v>
      </c>
      <c r="N5" s="8">
        <v>1.2825974782695419E-3</v>
      </c>
      <c r="O5" s="8">
        <v>4.3773198457663946E-3</v>
      </c>
      <c r="P5" s="8">
        <v>1.7167868188508761E-3</v>
      </c>
      <c r="Q5" s="8">
        <v>9.0282009988773906E-3</v>
      </c>
      <c r="R5" s="8">
        <v>7.6668994737295933E-3</v>
      </c>
      <c r="S5" s="8">
        <v>4.9298127979361609E-4</v>
      </c>
      <c r="T5" s="8">
        <v>2.529917937374357E-3</v>
      </c>
      <c r="U5" s="8">
        <v>1.946740826153961E-3</v>
      </c>
      <c r="V5" s="8">
        <v>3.1147483776872071E-3</v>
      </c>
      <c r="W5" s="8">
        <v>3.5739834279721631E-3</v>
      </c>
      <c r="X5" s="8">
        <v>1.038748642361508E-2</v>
      </c>
      <c r="Y5" s="8">
        <v>6.4463070778641727E-3</v>
      </c>
      <c r="Z5" s="10">
        <v>4.7815925112398476E-3</v>
      </c>
    </row>
    <row r="6" spans="1:26" x14ac:dyDescent="0.3">
      <c r="A6" s="30" t="s">
        <v>3</v>
      </c>
      <c r="B6" s="36">
        <v>7.9741414354581285E-3</v>
      </c>
      <c r="C6" s="8">
        <v>1.260175944544718E-2</v>
      </c>
      <c r="D6" s="8">
        <v>0.28481550665696059</v>
      </c>
      <c r="E6" s="8">
        <v>3.1503626413804331E-2</v>
      </c>
      <c r="F6" s="8">
        <v>2.383578952398888E-2</v>
      </c>
      <c r="G6" s="8">
        <v>0</v>
      </c>
      <c r="H6" s="8">
        <v>6.4701227636032137E-3</v>
      </c>
      <c r="I6" s="8">
        <v>0.506729448669754</v>
      </c>
      <c r="J6" s="8">
        <v>2.2349240598995169E-2</v>
      </c>
      <c r="K6" s="8">
        <v>7.7392252035516529E-2</v>
      </c>
      <c r="L6" s="8">
        <v>8.9618282439777874E-3</v>
      </c>
      <c r="M6" s="8">
        <v>0.20219761931319041</v>
      </c>
      <c r="N6" s="8">
        <v>6.1408266537033313E-3</v>
      </c>
      <c r="O6" s="8">
        <v>1.547676143015113E-2</v>
      </c>
      <c r="P6" s="8">
        <v>1.4835634991878279E-2</v>
      </c>
      <c r="Q6" s="8">
        <v>2.5816883586223791E-2</v>
      </c>
      <c r="R6" s="8">
        <v>1.3343222151827009E-2</v>
      </c>
      <c r="S6" s="8">
        <v>0.33243716251909439</v>
      </c>
      <c r="T6" s="8">
        <v>9.5223079450082071E-2</v>
      </c>
      <c r="U6" s="8">
        <v>1.7132926555936429E-2</v>
      </c>
      <c r="V6" s="8">
        <v>8.0612420367309617E-2</v>
      </c>
      <c r="W6" s="8">
        <v>4.766412731957762E-3</v>
      </c>
      <c r="X6" s="8">
        <v>2.6573716015599719E-3</v>
      </c>
      <c r="Y6" s="8">
        <v>1.160144300635115E-2</v>
      </c>
      <c r="Z6" s="10">
        <v>9.2205134534358944E-3</v>
      </c>
    </row>
    <row r="7" spans="1:26" x14ac:dyDescent="0.3">
      <c r="A7" s="30" t="s">
        <v>4</v>
      </c>
      <c r="B7" s="36">
        <v>1.43220520971863E-3</v>
      </c>
      <c r="C7" s="8">
        <v>1.4268957582057951E-3</v>
      </c>
      <c r="D7" s="8">
        <v>1.9578642921931119E-3</v>
      </c>
      <c r="E7" s="8">
        <v>6.4914503403267473E-2</v>
      </c>
      <c r="F7" s="8">
        <v>2.7359926129808199E-2</v>
      </c>
      <c r="G7" s="8">
        <v>0</v>
      </c>
      <c r="H7" s="8">
        <v>5.5086168479186377E-4</v>
      </c>
      <c r="I7" s="8">
        <v>3.452040153304063E-3</v>
      </c>
      <c r="J7" s="8">
        <v>1.469309329707514E-2</v>
      </c>
      <c r="K7" s="8">
        <v>1.3436499574675621E-2</v>
      </c>
      <c r="L7" s="8">
        <v>4.0082774588121707E-3</v>
      </c>
      <c r="M7" s="8">
        <v>1.9221834512063659E-3</v>
      </c>
      <c r="N7" s="8">
        <v>1.7452210378646931E-3</v>
      </c>
      <c r="O7" s="8">
        <v>6.4760180242956359E-3</v>
      </c>
      <c r="P7" s="8">
        <v>2.55245766891448E-3</v>
      </c>
      <c r="Q7" s="8">
        <v>2.6580861581567989E-3</v>
      </c>
      <c r="R7" s="8">
        <v>1.0069468126353259E-2</v>
      </c>
      <c r="S7" s="8">
        <v>8.0348899423680334E-5</v>
      </c>
      <c r="T7" s="8">
        <v>1.0652903788578499E-2</v>
      </c>
      <c r="U7" s="8">
        <v>3.3371316911224901E-3</v>
      </c>
      <c r="V7" s="8">
        <v>4.1413067272714783E-4</v>
      </c>
      <c r="W7" s="8">
        <v>3.842155359366685E-4</v>
      </c>
      <c r="X7" s="8">
        <v>5.944327196044433E-4</v>
      </c>
      <c r="Y7" s="8">
        <v>3.1223520833405078E-3</v>
      </c>
      <c r="Z7" s="10">
        <v>1.493717085128723E-3</v>
      </c>
    </row>
    <row r="8" spans="1:26" x14ac:dyDescent="0.3">
      <c r="A8" s="30" t="s">
        <v>5</v>
      </c>
      <c r="B8" s="36">
        <v>1.0147521776404864E-2</v>
      </c>
      <c r="C8" s="8">
        <v>3.9196032697089281E-2</v>
      </c>
      <c r="D8" s="8">
        <v>1.8012145321846251E-2</v>
      </c>
      <c r="E8" s="8">
        <v>3.2964558147885271E-2</v>
      </c>
      <c r="F8" s="8">
        <v>0.2082478212830732</v>
      </c>
      <c r="G8" s="8">
        <v>0</v>
      </c>
      <c r="H8" s="8">
        <v>1.3723381839687731E-2</v>
      </c>
      <c r="I8" s="8">
        <v>8.0773417890810818E-3</v>
      </c>
      <c r="J8" s="8">
        <v>7.8244868195230938E-2</v>
      </c>
      <c r="K8" s="8">
        <v>2.3383465843341202E-2</v>
      </c>
      <c r="L8" s="8">
        <v>0.103790955887217</v>
      </c>
      <c r="M8" s="8">
        <v>2.8739885738178209E-2</v>
      </c>
      <c r="N8" s="8">
        <v>4.006908254977621E-2</v>
      </c>
      <c r="O8" s="8">
        <v>3.7795848320090107E-2</v>
      </c>
      <c r="P8" s="8">
        <v>2.9467715571262921E-2</v>
      </c>
      <c r="Q8" s="8">
        <v>5.6097606382478141E-2</v>
      </c>
      <c r="R8" s="8">
        <v>5.1733170223390017E-2</v>
      </c>
      <c r="S8" s="8">
        <v>2.4652455728991461E-2</v>
      </c>
      <c r="T8" s="8">
        <v>2.618794007653678E-2</v>
      </c>
      <c r="U8" s="8">
        <v>3.6790206094792631E-2</v>
      </c>
      <c r="V8" s="8">
        <v>6.3422188079354279E-3</v>
      </c>
      <c r="W8" s="8">
        <v>1.160148329656184E-2</v>
      </c>
      <c r="X8" s="8">
        <v>1.262529939322083E-2</v>
      </c>
      <c r="Y8" s="8">
        <v>4.9311057453861558E-2</v>
      </c>
      <c r="Z8" s="10">
        <v>2.896560323123331E-2</v>
      </c>
    </row>
    <row r="9" spans="1:26" x14ac:dyDescent="0.3">
      <c r="A9" s="30" t="s">
        <v>6</v>
      </c>
      <c r="B9" s="36">
        <v>0</v>
      </c>
      <c r="C9" s="8">
        <v>0</v>
      </c>
      <c r="D9" s="8">
        <v>0</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10">
        <v>0</v>
      </c>
    </row>
    <row r="10" spans="1:26" x14ac:dyDescent="0.3">
      <c r="A10" s="30" t="s">
        <v>7</v>
      </c>
      <c r="B10" s="36">
        <v>0.16028201364348182</v>
      </c>
      <c r="C10" s="8">
        <v>0.14064441937416569</v>
      </c>
      <c r="D10" s="8">
        <v>0.1331598767915888</v>
      </c>
      <c r="E10" s="8">
        <v>0.20167080261919701</v>
      </c>
      <c r="F10" s="8">
        <v>0.15957594232281</v>
      </c>
      <c r="G10" s="8">
        <v>0</v>
      </c>
      <c r="H10" s="8">
        <v>0.26467017986959102</v>
      </c>
      <c r="I10" s="8">
        <v>0.10044933067508389</v>
      </c>
      <c r="J10" s="8">
        <v>0.1592604239182793</v>
      </c>
      <c r="K10" s="8">
        <v>0.23072819063763769</v>
      </c>
      <c r="L10" s="8">
        <v>0.1602223881046401</v>
      </c>
      <c r="M10" s="8">
        <v>0.2430145760867691</v>
      </c>
      <c r="N10" s="8">
        <v>0.21416240297202491</v>
      </c>
      <c r="O10" s="8">
        <v>0.1837882368806435</v>
      </c>
      <c r="P10" s="8">
        <v>0.1962511300997446</v>
      </c>
      <c r="Q10" s="8">
        <v>0.33320243306493341</v>
      </c>
      <c r="R10" s="8">
        <v>0.20513075044843471</v>
      </c>
      <c r="S10" s="8">
        <v>0.1161329556687298</v>
      </c>
      <c r="T10" s="8">
        <v>0.24801022780197449</v>
      </c>
      <c r="U10" s="8">
        <v>0.22362439169167209</v>
      </c>
      <c r="V10" s="8">
        <v>0.2506413552272424</v>
      </c>
      <c r="W10" s="8">
        <v>0.17199075219202589</v>
      </c>
      <c r="X10" s="8">
        <v>0.21865320442542779</v>
      </c>
      <c r="Y10" s="8">
        <v>0.1958331310660878</v>
      </c>
      <c r="Z10" s="10">
        <v>0.2731469211352488</v>
      </c>
    </row>
    <row r="11" spans="1:26" x14ac:dyDescent="0.3">
      <c r="A11" s="30" t="s">
        <v>8</v>
      </c>
      <c r="B11" s="36">
        <v>1.2066540250197177E-4</v>
      </c>
      <c r="C11" s="8">
        <v>3.89970267581099E-4</v>
      </c>
      <c r="D11" s="8">
        <v>1.5024882946155159E-2</v>
      </c>
      <c r="E11" s="8">
        <v>9.3582984736613321E-4</v>
      </c>
      <c r="F11" s="8">
        <v>2.7137768999666708E-3</v>
      </c>
      <c r="G11" s="8">
        <v>0</v>
      </c>
      <c r="H11" s="8">
        <v>2.5572560842445589E-4</v>
      </c>
      <c r="I11" s="8">
        <v>2.7467514807638291E-2</v>
      </c>
      <c r="J11" s="8">
        <v>2.487127554020005E-2</v>
      </c>
      <c r="K11" s="8">
        <v>1.356777874735314E-2</v>
      </c>
      <c r="L11" s="8">
        <v>2.2029266896525539E-4</v>
      </c>
      <c r="M11" s="8">
        <v>3.2435625601778982E-3</v>
      </c>
      <c r="N11" s="8">
        <v>5.2643000887705701E-4</v>
      </c>
      <c r="O11" s="8">
        <v>1.1649596415045939E-3</v>
      </c>
      <c r="P11" s="8">
        <v>1.0045759009974259E-3</v>
      </c>
      <c r="Q11" s="8">
        <v>1.5265805575712999E-3</v>
      </c>
      <c r="R11" s="8">
        <v>1.39870140444915E-3</v>
      </c>
      <c r="S11" s="8">
        <v>1.520628888071794E-2</v>
      </c>
      <c r="T11" s="8">
        <v>3.8355862322307951E-3</v>
      </c>
      <c r="U11" s="8">
        <v>1.891915291412274E-3</v>
      </c>
      <c r="V11" s="8">
        <v>7.4102038255214071E-3</v>
      </c>
      <c r="W11" s="8">
        <v>3.9848677516856538E-4</v>
      </c>
      <c r="X11" s="8">
        <v>1.297216902396698E-4</v>
      </c>
      <c r="Y11" s="8">
        <v>8.0553879571171674E-4</v>
      </c>
      <c r="Z11" s="10">
        <v>9.7661399382555233E-4</v>
      </c>
    </row>
    <row r="12" spans="1:26" x14ac:dyDescent="0.3">
      <c r="A12" s="30" t="s">
        <v>9</v>
      </c>
      <c r="B12" s="36">
        <v>2.9542517471875557E-2</v>
      </c>
      <c r="C12" s="8">
        <v>5.8390700397720471E-2</v>
      </c>
      <c r="D12" s="8">
        <v>1.7043331891018559E-2</v>
      </c>
      <c r="E12" s="8">
        <v>2.2643414922966159E-2</v>
      </c>
      <c r="F12" s="8">
        <v>3.3583888739082218E-2</v>
      </c>
      <c r="G12" s="8">
        <v>0</v>
      </c>
      <c r="H12" s="8">
        <v>7.8740211621395398E-3</v>
      </c>
      <c r="I12" s="8">
        <v>2.4962355987093031E-2</v>
      </c>
      <c r="J12" s="8">
        <v>0.28658766313544531</v>
      </c>
      <c r="K12" s="8">
        <v>0.1646984146650263</v>
      </c>
      <c r="L12" s="8">
        <v>3.8876422715385738E-2</v>
      </c>
      <c r="M12" s="8">
        <v>6.2472320034362263E-3</v>
      </c>
      <c r="N12" s="8">
        <v>2.757258380654078E-3</v>
      </c>
      <c r="O12" s="8">
        <v>4.202804048547071E-3</v>
      </c>
      <c r="P12" s="8">
        <v>5.3679115155426298E-3</v>
      </c>
      <c r="Q12" s="8">
        <v>8.5210321048727021E-3</v>
      </c>
      <c r="R12" s="8">
        <v>8.421418806740813E-3</v>
      </c>
      <c r="S12" s="8">
        <v>1.734890143218116E-3</v>
      </c>
      <c r="T12" s="8">
        <v>4.4240285646965716E-3</v>
      </c>
      <c r="U12" s="8">
        <v>3.7540117061461417E-2</v>
      </c>
      <c r="V12" s="8">
        <v>5.6921309836203277E-3</v>
      </c>
      <c r="W12" s="8">
        <v>3.4032556524914632E-3</v>
      </c>
      <c r="X12" s="8">
        <v>7.9044607078611953E-2</v>
      </c>
      <c r="Y12" s="8">
        <v>1.4169102128574029E-2</v>
      </c>
      <c r="Z12" s="10">
        <v>8.1007425762811298E-3</v>
      </c>
    </row>
    <row r="13" spans="1:26" x14ac:dyDescent="0.3">
      <c r="A13" s="30" t="s">
        <v>10</v>
      </c>
      <c r="B13" s="36">
        <v>6.4968331746511479E-5</v>
      </c>
      <c r="C13" s="8">
        <v>5.6168127232145048E-5</v>
      </c>
      <c r="D13" s="8">
        <v>1.5581804000878541E-4</v>
      </c>
      <c r="E13" s="8">
        <v>2.3909216238776341E-4</v>
      </c>
      <c r="F13" s="8">
        <v>7.9953504462246862E-5</v>
      </c>
      <c r="G13" s="8">
        <v>0</v>
      </c>
      <c r="H13" s="8">
        <v>8.6416188761069378E-5</v>
      </c>
      <c r="I13" s="8">
        <v>6.7010395913769051E-5</v>
      </c>
      <c r="J13" s="8">
        <v>3.9483643000018587E-4</v>
      </c>
      <c r="K13" s="8">
        <v>2.5664356939368382E-4</v>
      </c>
      <c r="L13" s="8">
        <v>4.4177243505894092E-5</v>
      </c>
      <c r="M13" s="8">
        <v>1.797442949963763E-3</v>
      </c>
      <c r="N13" s="8">
        <v>1.273555902364258E-3</v>
      </c>
      <c r="O13" s="8">
        <v>5.2278263141254525E-4</v>
      </c>
      <c r="P13" s="8">
        <v>2.1138671399093109E-3</v>
      </c>
      <c r="Q13" s="8">
        <v>7.9060228255434083E-3</v>
      </c>
      <c r="R13" s="8">
        <v>1.888408467265155E-3</v>
      </c>
      <c r="S13" s="8">
        <v>1.1846410554909159E-5</v>
      </c>
      <c r="T13" s="8">
        <v>6.8811509304374298E-5</v>
      </c>
      <c r="U13" s="8">
        <v>3.1993214435477839E-4</v>
      </c>
      <c r="V13" s="8">
        <v>4.7589545017047029E-4</v>
      </c>
      <c r="W13" s="8">
        <v>6.2075381133510851E-5</v>
      </c>
      <c r="X13" s="8">
        <v>4.2732730454769347E-5</v>
      </c>
      <c r="Y13" s="8">
        <v>1.4961468621482629E-4</v>
      </c>
      <c r="Z13" s="10">
        <v>1.4050301573442141E-4</v>
      </c>
    </row>
    <row r="14" spans="1:26" x14ac:dyDescent="0.3">
      <c r="A14" s="30" t="s">
        <v>11</v>
      </c>
      <c r="B14" s="36">
        <v>1.4484177093716548E-2</v>
      </c>
      <c r="C14" s="8">
        <v>2.5603862569102281E-2</v>
      </c>
      <c r="D14" s="8">
        <v>2.7720864708768181E-2</v>
      </c>
      <c r="E14" s="8">
        <v>6.2984282932331159E-2</v>
      </c>
      <c r="F14" s="8">
        <v>0.12199547618087619</v>
      </c>
      <c r="G14" s="8">
        <v>0</v>
      </c>
      <c r="H14" s="8">
        <v>2.2884664348122571E-2</v>
      </c>
      <c r="I14" s="8">
        <v>1.6353183690639189E-2</v>
      </c>
      <c r="J14" s="8">
        <v>4.330404192531824E-2</v>
      </c>
      <c r="K14" s="8">
        <v>4.2805069711458803E-2</v>
      </c>
      <c r="L14" s="8">
        <v>0.33491679370945188</v>
      </c>
      <c r="M14" s="8">
        <v>6.655367448595606E-2</v>
      </c>
      <c r="N14" s="8">
        <v>2.8775742312845669E-2</v>
      </c>
      <c r="O14" s="8">
        <v>4.1370035263765793E-2</v>
      </c>
      <c r="P14" s="8">
        <v>2.4184126210035212E-2</v>
      </c>
      <c r="Q14" s="8">
        <v>4.3423477728635057E-2</v>
      </c>
      <c r="R14" s="8">
        <v>2.1268709155750722E-2</v>
      </c>
      <c r="S14" s="8">
        <v>6.7082702050553413E-3</v>
      </c>
      <c r="T14" s="8">
        <v>1.389986024105677E-2</v>
      </c>
      <c r="U14" s="8">
        <v>2.1620419428627989E-2</v>
      </c>
      <c r="V14" s="8">
        <v>3.6486518490673372E-2</v>
      </c>
      <c r="W14" s="8">
        <v>1.7261211716239049E-2</v>
      </c>
      <c r="X14" s="8">
        <v>3.063454487688308E-2</v>
      </c>
      <c r="Y14" s="8">
        <v>6.0127035812062267E-2</v>
      </c>
      <c r="Z14" s="10">
        <v>4.8210825376972133E-2</v>
      </c>
    </row>
    <row r="15" spans="1:26" x14ac:dyDescent="0.3">
      <c r="A15" s="30" t="s">
        <v>12</v>
      </c>
      <c r="B15" s="36">
        <v>5.2209256568337119E-3</v>
      </c>
      <c r="C15" s="8">
        <v>5.2750130855217982E-3</v>
      </c>
      <c r="D15" s="8">
        <v>6.8737344369596337E-3</v>
      </c>
      <c r="E15" s="8">
        <v>2.459661490179393E-2</v>
      </c>
      <c r="F15" s="8">
        <v>4.8323775145400491E-3</v>
      </c>
      <c r="G15" s="8">
        <v>0</v>
      </c>
      <c r="H15" s="8">
        <v>4.3929874289434911E-3</v>
      </c>
      <c r="I15" s="8">
        <v>7.7291359693223609E-3</v>
      </c>
      <c r="J15" s="8">
        <v>4.2529339831226948E-3</v>
      </c>
      <c r="K15" s="8">
        <v>6.128013720507368E-3</v>
      </c>
      <c r="L15" s="8">
        <v>5.3799116996104323E-3</v>
      </c>
      <c r="M15" s="8">
        <v>7.1961796181887559E-3</v>
      </c>
      <c r="N15" s="8">
        <v>1.13697590309345E-2</v>
      </c>
      <c r="O15" s="8">
        <v>2.5313492264794271E-4</v>
      </c>
      <c r="P15" s="8">
        <v>7.0830397152474994E-4</v>
      </c>
      <c r="Q15" s="8">
        <v>1.1184290744418251E-2</v>
      </c>
      <c r="R15" s="8">
        <v>3.873299584068202E-3</v>
      </c>
      <c r="S15" s="8">
        <v>4.4668142943733128E-4</v>
      </c>
      <c r="T15" s="8">
        <v>2.878634784414223E-3</v>
      </c>
      <c r="U15" s="8">
        <v>2.959871039961955E-3</v>
      </c>
      <c r="V15" s="8">
        <v>2.1519638534748752E-3</v>
      </c>
      <c r="W15" s="8">
        <v>3.6311539908707169E-3</v>
      </c>
      <c r="X15" s="8">
        <v>2.8641762561943309E-3</v>
      </c>
      <c r="Y15" s="8">
        <v>6.4299257977669848E-3</v>
      </c>
      <c r="Z15" s="10">
        <v>2.6618617445139628E-3</v>
      </c>
    </row>
    <row r="16" spans="1:26" x14ac:dyDescent="0.3">
      <c r="A16" s="30" t="s">
        <v>13</v>
      </c>
      <c r="B16" s="36">
        <v>7.3393142338536079E-4</v>
      </c>
      <c r="C16" s="8">
        <v>9.7284778969790959E-4</v>
      </c>
      <c r="D16" s="8">
        <v>6.0043207493825539E-4</v>
      </c>
      <c r="E16" s="8">
        <v>1.1146196758099081E-3</v>
      </c>
      <c r="F16" s="8">
        <v>9.5477476433996429E-4</v>
      </c>
      <c r="G16" s="8">
        <v>0</v>
      </c>
      <c r="H16" s="8">
        <v>7.760277122163087E-4</v>
      </c>
      <c r="I16" s="8">
        <v>7.5039321840284585E-4</v>
      </c>
      <c r="J16" s="8">
        <v>1.463882802768572E-3</v>
      </c>
      <c r="K16" s="8">
        <v>1.7001148206533851E-3</v>
      </c>
      <c r="L16" s="8">
        <v>7.4342867658312554E-4</v>
      </c>
      <c r="M16" s="8">
        <v>7.08680556896377E-3</v>
      </c>
      <c r="N16" s="8">
        <v>1.358577272246788E-2</v>
      </c>
      <c r="O16" s="8">
        <v>7.7035461805575399E-5</v>
      </c>
      <c r="P16" s="8">
        <v>1.402237257219145E-4</v>
      </c>
      <c r="Q16" s="8">
        <v>1.3265704098179331E-2</v>
      </c>
      <c r="R16" s="8">
        <v>8.5633645441657801E-4</v>
      </c>
      <c r="S16" s="8">
        <v>1.362400516506095E-4</v>
      </c>
      <c r="T16" s="8">
        <v>1.839490587365828E-4</v>
      </c>
      <c r="U16" s="8">
        <v>1.348171684805051E-3</v>
      </c>
      <c r="V16" s="8">
        <v>4.7496158940092919E-4</v>
      </c>
      <c r="W16" s="8">
        <v>9.058849140731887E-4</v>
      </c>
      <c r="X16" s="8">
        <v>6.0332863174873913E-4</v>
      </c>
      <c r="Y16" s="8">
        <v>1.610842822384888E-3</v>
      </c>
      <c r="Z16" s="10">
        <v>8.2789603705321873E-4</v>
      </c>
    </row>
    <row r="17" spans="1:26" x14ac:dyDescent="0.3">
      <c r="A17" s="30" t="s">
        <v>14</v>
      </c>
      <c r="B17" s="36">
        <v>1.082165164120104E-3</v>
      </c>
      <c r="C17" s="8">
        <v>1.4823783436102879E-3</v>
      </c>
      <c r="D17" s="8">
        <v>1.6023799649258479E-3</v>
      </c>
      <c r="E17" s="8">
        <v>5.3710662832481991E-3</v>
      </c>
      <c r="F17" s="8">
        <v>9.3648606578032199E-4</v>
      </c>
      <c r="G17" s="8">
        <v>0</v>
      </c>
      <c r="H17" s="8">
        <v>8.0780741863708931E-4</v>
      </c>
      <c r="I17" s="8">
        <v>1.179188717527367E-3</v>
      </c>
      <c r="J17" s="8">
        <v>1.665067032639114E-3</v>
      </c>
      <c r="K17" s="8">
        <v>3.539244861111577E-3</v>
      </c>
      <c r="L17" s="8">
        <v>9.2221061139825822E-4</v>
      </c>
      <c r="M17" s="8">
        <v>2.1907864279517681E-4</v>
      </c>
      <c r="N17" s="8">
        <v>1.2928885991182111E-4</v>
      </c>
      <c r="O17" s="8">
        <v>2.106793315631294E-4</v>
      </c>
      <c r="P17" s="8">
        <v>1.850122697320161E-4</v>
      </c>
      <c r="Q17" s="8">
        <v>3.4997468167977959E-4</v>
      </c>
      <c r="R17" s="8">
        <v>9.3069147251945551E-4</v>
      </c>
      <c r="S17" s="8">
        <v>7.4077657409864437E-5</v>
      </c>
      <c r="T17" s="8">
        <v>8.2040882697429222E-4</v>
      </c>
      <c r="U17" s="8">
        <v>1.6668481876319711E-4</v>
      </c>
      <c r="V17" s="8">
        <v>4.3818028314924709E-4</v>
      </c>
      <c r="W17" s="8">
        <v>5.2981203127090302E-4</v>
      </c>
      <c r="X17" s="8">
        <v>4.3627008272124559E-4</v>
      </c>
      <c r="Y17" s="8">
        <v>1.5777451877278319E-3</v>
      </c>
      <c r="Z17" s="10">
        <v>8.7434745259923731E-4</v>
      </c>
    </row>
    <row r="18" spans="1:26" x14ac:dyDescent="0.3">
      <c r="A18" s="30" t="s">
        <v>15</v>
      </c>
      <c r="B18" s="36">
        <v>1.2685337260574464E-4</v>
      </c>
      <c r="C18" s="8">
        <v>1.181113197886008E-4</v>
      </c>
      <c r="D18" s="8">
        <v>5.6132658535447362E-5</v>
      </c>
      <c r="E18" s="8">
        <v>3.1104183309750002E-4</v>
      </c>
      <c r="F18" s="8">
        <v>1.14806333115717E-4</v>
      </c>
      <c r="G18" s="8">
        <v>0</v>
      </c>
      <c r="H18" s="8">
        <v>8.0626888598685231E-5</v>
      </c>
      <c r="I18" s="8">
        <v>3.1307363164117509E-5</v>
      </c>
      <c r="J18" s="8">
        <v>1.5473019877789801E-4</v>
      </c>
      <c r="K18" s="8">
        <v>2.8199344218320571E-4</v>
      </c>
      <c r="L18" s="8">
        <v>7.22826372023168E-5</v>
      </c>
      <c r="M18" s="8">
        <v>2.1531987082508881E-5</v>
      </c>
      <c r="N18" s="8">
        <v>1.5647776795361671E-5</v>
      </c>
      <c r="O18" s="8">
        <v>2.4850028401337632E-5</v>
      </c>
      <c r="P18" s="8">
        <v>2.6544544645093889E-5</v>
      </c>
      <c r="Q18" s="8">
        <v>5.7858764654248219E-5</v>
      </c>
      <c r="R18" s="8">
        <v>1.303352679473739E-4</v>
      </c>
      <c r="S18" s="8">
        <v>7.2370082219992696E-5</v>
      </c>
      <c r="T18" s="8">
        <v>3.4220678907823583E-5</v>
      </c>
      <c r="U18" s="8">
        <v>4.7634836378345884E-6</v>
      </c>
      <c r="V18" s="8">
        <v>4.9467933366079168E-5</v>
      </c>
      <c r="W18" s="8">
        <v>5.7467112867306827E-5</v>
      </c>
      <c r="X18" s="8">
        <v>4.2295367164465912E-5</v>
      </c>
      <c r="Y18" s="8">
        <v>8.2918406598438303E-5</v>
      </c>
      <c r="Z18" s="10">
        <v>1.553085036108659E-4</v>
      </c>
    </row>
    <row r="19" spans="1:26" x14ac:dyDescent="0.3">
      <c r="A19" s="30" t="s">
        <v>16</v>
      </c>
      <c r="B19" s="36">
        <v>1.2140347206387404E-4</v>
      </c>
      <c r="C19" s="8">
        <v>1.522075463325827E-4</v>
      </c>
      <c r="D19" s="8">
        <v>7.9872028037037112E-5</v>
      </c>
      <c r="E19" s="8">
        <v>2.5573579716366932E-4</v>
      </c>
      <c r="F19" s="8">
        <v>1.2151401386670459E-4</v>
      </c>
      <c r="G19" s="8">
        <v>0</v>
      </c>
      <c r="H19" s="8">
        <v>9.1432383041185929E-5</v>
      </c>
      <c r="I19" s="8">
        <v>6.1018853875016433E-5</v>
      </c>
      <c r="J19" s="8">
        <v>2.119784303922995E-4</v>
      </c>
      <c r="K19" s="8">
        <v>3.8745417899605232E-4</v>
      </c>
      <c r="L19" s="8">
        <v>1.01118326002972E-4</v>
      </c>
      <c r="M19" s="8">
        <v>1.2414155671124181E-4</v>
      </c>
      <c r="N19" s="8">
        <v>2.6890947538212181E-4</v>
      </c>
      <c r="O19" s="8">
        <v>2.7850426829088769E-5</v>
      </c>
      <c r="P19" s="8">
        <v>2.0825146765412768E-5</v>
      </c>
      <c r="Q19" s="8">
        <v>3.1035493898557879E-4</v>
      </c>
      <c r="R19" s="8">
        <v>1.418841240603543E-4</v>
      </c>
      <c r="S19" s="8">
        <v>1.254688994622716E-5</v>
      </c>
      <c r="T19" s="8">
        <v>5.2150276197482562E-5</v>
      </c>
      <c r="U19" s="8">
        <v>7.3572614700802771E-5</v>
      </c>
      <c r="V19" s="8">
        <v>6.8720269726502167E-5</v>
      </c>
      <c r="W19" s="8">
        <v>8.336982530507273E-5</v>
      </c>
      <c r="X19" s="8">
        <v>7.346697255683661E-5</v>
      </c>
      <c r="Y19" s="8">
        <v>1.8007617512722009E-4</v>
      </c>
      <c r="Z19" s="10">
        <v>2.8712764436804962E-4</v>
      </c>
    </row>
    <row r="20" spans="1:26" x14ac:dyDescent="0.3">
      <c r="A20" s="30" t="s">
        <v>17</v>
      </c>
      <c r="B20" s="36">
        <v>1.5517504791828594E-5</v>
      </c>
      <c r="C20" s="8">
        <v>1.6134832902771731E-5</v>
      </c>
      <c r="D20" s="8">
        <v>8.7253754249399357E-6</v>
      </c>
      <c r="E20" s="8">
        <v>4.101085220421078E-5</v>
      </c>
      <c r="F20" s="8">
        <v>1.233608574751984E-5</v>
      </c>
      <c r="G20" s="8">
        <v>0</v>
      </c>
      <c r="H20" s="8">
        <v>6.5288338690198587E-6</v>
      </c>
      <c r="I20" s="8">
        <v>7.7916463327511954E-6</v>
      </c>
      <c r="J20" s="8">
        <v>5.5911968863147629E-5</v>
      </c>
      <c r="K20" s="8">
        <v>4.0501903876616997E-5</v>
      </c>
      <c r="L20" s="8">
        <v>9.046292433528879E-6</v>
      </c>
      <c r="M20" s="8">
        <v>3.5164985108079852E-6</v>
      </c>
      <c r="N20" s="8">
        <v>5.3695419709239973E-6</v>
      </c>
      <c r="O20" s="8">
        <v>6.0851878984179122E-6</v>
      </c>
      <c r="P20" s="8">
        <v>5.3661663830991072E-6</v>
      </c>
      <c r="Q20" s="8">
        <v>1.2716397051403671E-5</v>
      </c>
      <c r="R20" s="8">
        <v>2.9931359253608011E-5</v>
      </c>
      <c r="S20" s="8">
        <v>1.248666321000865E-5</v>
      </c>
      <c r="T20" s="8">
        <v>4.8330790596357549E-6</v>
      </c>
      <c r="U20" s="8">
        <v>9.7492073489209427E-7</v>
      </c>
      <c r="V20" s="8">
        <v>7.8499215418157479E-6</v>
      </c>
      <c r="W20" s="8">
        <v>2.1592876584706131E-5</v>
      </c>
      <c r="X20" s="8">
        <v>7.6311037328966692E-6</v>
      </c>
      <c r="Y20" s="8">
        <v>1.6188435790568831E-5</v>
      </c>
      <c r="Z20" s="10">
        <v>3.1580848881957653E-5</v>
      </c>
    </row>
    <row r="21" spans="1:26" x14ac:dyDescent="0.3">
      <c r="A21" s="30" t="s">
        <v>18</v>
      </c>
      <c r="B21" s="36">
        <v>5.0273902420484853E-7</v>
      </c>
      <c r="C21" s="8">
        <v>4.7344814685792192E-7</v>
      </c>
      <c r="D21" s="8">
        <v>2.5187707538044949E-7</v>
      </c>
      <c r="E21" s="8">
        <v>2.8277527064566592E-6</v>
      </c>
      <c r="F21" s="8">
        <v>3.5446151489104441E-7</v>
      </c>
      <c r="G21" s="8">
        <v>0</v>
      </c>
      <c r="H21" s="8">
        <v>2.2050442322533721E-7</v>
      </c>
      <c r="I21" s="8">
        <v>1.497469353697753E-7</v>
      </c>
      <c r="J21" s="8">
        <v>5.1557732997446388E-7</v>
      </c>
      <c r="K21" s="8">
        <v>1.2408867571292761E-6</v>
      </c>
      <c r="L21" s="8">
        <v>2.9011156588688501E-7</v>
      </c>
      <c r="M21" s="8">
        <v>1.5209872867283789E-8</v>
      </c>
      <c r="N21" s="8">
        <v>1.6793670650268089E-8</v>
      </c>
      <c r="O21" s="8">
        <v>9.3554792847189257E-9</v>
      </c>
      <c r="P21" s="8">
        <v>8.0319858369118173E-8</v>
      </c>
      <c r="Q21" s="8">
        <v>6.9744111022165672E-8</v>
      </c>
      <c r="R21" s="8">
        <v>1.270769113843132E-8</v>
      </c>
      <c r="S21" s="8">
        <v>2.1760979284535551E-6</v>
      </c>
      <c r="T21" s="8">
        <v>7.7886995313637581E-11</v>
      </c>
      <c r="U21" s="8">
        <v>3.9133556326908454E-9</v>
      </c>
      <c r="V21" s="8">
        <v>1.4167630618763749E-7</v>
      </c>
      <c r="W21" s="8">
        <v>5.3046310764820006E-7</v>
      </c>
      <c r="X21" s="8">
        <v>1.2635360968036699E-7</v>
      </c>
      <c r="Y21" s="8">
        <v>2.6267879079858491E-7</v>
      </c>
      <c r="Z21" s="10">
        <v>1.513456024406594E-6</v>
      </c>
    </row>
    <row r="22" spans="1:26" x14ac:dyDescent="0.3">
      <c r="A22" s="30" t="s">
        <v>19</v>
      </c>
      <c r="B22" s="36">
        <v>1.1209149124714048E-6</v>
      </c>
      <c r="C22" s="8">
        <v>1.620997505784236E-6</v>
      </c>
      <c r="D22" s="8">
        <v>5.3684677826668065E-7</v>
      </c>
      <c r="E22" s="8">
        <v>4.4497528293945556E-6</v>
      </c>
      <c r="F22" s="8">
        <v>6.1159636234509555E-7</v>
      </c>
      <c r="G22" s="8">
        <v>0</v>
      </c>
      <c r="H22" s="8">
        <v>2.8272133188374012E-7</v>
      </c>
      <c r="I22" s="8">
        <v>6.4629733002535351E-7</v>
      </c>
      <c r="J22" s="8">
        <v>1.76882081948267E-6</v>
      </c>
      <c r="K22" s="8">
        <v>2.323742243544601E-6</v>
      </c>
      <c r="L22" s="8">
        <v>2.5181788695168201E-7</v>
      </c>
      <c r="M22" s="8">
        <v>5.3911850076437316E-7</v>
      </c>
      <c r="N22" s="8">
        <v>1.8523369454519519E-6</v>
      </c>
      <c r="O22" s="8">
        <v>4.9647992763525963E-7</v>
      </c>
      <c r="P22" s="8">
        <v>9.3735259435171897E-8</v>
      </c>
      <c r="Q22" s="8">
        <v>1.2165804956584561E-6</v>
      </c>
      <c r="R22" s="8">
        <v>1.966503420902773E-7</v>
      </c>
      <c r="S22" s="8">
        <v>1.5852137814772799E-10</v>
      </c>
      <c r="T22" s="8">
        <v>4.3618327765241836E-6</v>
      </c>
      <c r="U22" s="8">
        <v>3.2407425518816651E-7</v>
      </c>
      <c r="V22" s="8">
        <v>1.3297542358365709E-7</v>
      </c>
      <c r="W22" s="8">
        <v>2.4644673613648962E-7</v>
      </c>
      <c r="X22" s="8">
        <v>2.5460138212074651E-7</v>
      </c>
      <c r="Y22" s="8">
        <v>2.8643333190868362E-7</v>
      </c>
      <c r="Z22" s="10">
        <v>5.6588450087252795E-7</v>
      </c>
    </row>
    <row r="23" spans="1:26" x14ac:dyDescent="0.3">
      <c r="A23" s="30" t="s">
        <v>20</v>
      </c>
      <c r="B23" s="36">
        <v>2.2581330257893816E-5</v>
      </c>
      <c r="C23" s="8">
        <v>4.6600047885464319E-5</v>
      </c>
      <c r="D23" s="8">
        <v>2.211260449810427E-5</v>
      </c>
      <c r="E23" s="8">
        <v>7.7817453296757745E-5</v>
      </c>
      <c r="F23" s="8">
        <v>1.865233832173948E-5</v>
      </c>
      <c r="G23" s="8">
        <v>0</v>
      </c>
      <c r="H23" s="8">
        <v>1.7825391931677979E-5</v>
      </c>
      <c r="I23" s="8">
        <v>1.349828173748678E-5</v>
      </c>
      <c r="J23" s="8">
        <v>8.2342377242096209E-5</v>
      </c>
      <c r="K23" s="8">
        <v>2.7943611783315502E-5</v>
      </c>
      <c r="L23" s="8">
        <v>1.4843440540823131E-5</v>
      </c>
      <c r="M23" s="8">
        <v>1.631976486026259E-5</v>
      </c>
      <c r="N23" s="8">
        <v>5.4581714805952809E-5</v>
      </c>
      <c r="O23" s="8">
        <v>6.349877050759423E-6</v>
      </c>
      <c r="P23" s="8">
        <v>4.4839396324858913E-6</v>
      </c>
      <c r="Q23" s="8">
        <v>3.8164902943808579E-5</v>
      </c>
      <c r="R23" s="8">
        <v>4.9020439846738921E-5</v>
      </c>
      <c r="S23" s="8">
        <v>9.5597115858282328E-7</v>
      </c>
      <c r="T23" s="8">
        <v>2.81116771647129E-5</v>
      </c>
      <c r="U23" s="8">
        <v>1.368232342516466E-5</v>
      </c>
      <c r="V23" s="8">
        <v>1.2460824443278691E-5</v>
      </c>
      <c r="W23" s="8">
        <v>2.157888376065449E-5</v>
      </c>
      <c r="X23" s="8">
        <v>1.5011971821781389E-5</v>
      </c>
      <c r="Y23" s="8">
        <v>2.4357550609656401E-5</v>
      </c>
      <c r="Z23" s="10">
        <v>1.2939166477234969E-5</v>
      </c>
    </row>
    <row r="24" spans="1:26" x14ac:dyDescent="0.3">
      <c r="A24" s="30" t="s">
        <v>21</v>
      </c>
      <c r="B24" s="36">
        <v>2.2209164692693514E-2</v>
      </c>
      <c r="C24" s="8">
        <v>1.914142232655431E-2</v>
      </c>
      <c r="D24" s="8">
        <v>2.0247649677415939E-2</v>
      </c>
      <c r="E24" s="8">
        <v>4.6872132726847968E-2</v>
      </c>
      <c r="F24" s="8">
        <v>2.9922517160498451E-2</v>
      </c>
      <c r="G24" s="8">
        <v>0</v>
      </c>
      <c r="H24" s="8">
        <v>2.033788619840439E-2</v>
      </c>
      <c r="I24" s="8">
        <v>1.422860153261233E-2</v>
      </c>
      <c r="J24" s="8">
        <v>1.528951978824254E-2</v>
      </c>
      <c r="K24" s="8">
        <v>3.1988800569947559E-2</v>
      </c>
      <c r="L24" s="8">
        <v>1.6782679150205749E-2</v>
      </c>
      <c r="M24" s="8">
        <v>2.8496385389400209E-2</v>
      </c>
      <c r="N24" s="8">
        <v>1.217438534684083E-2</v>
      </c>
      <c r="O24" s="8">
        <v>1.186085113027602E-2</v>
      </c>
      <c r="P24" s="8">
        <v>2.479995605860013E-2</v>
      </c>
      <c r="Q24" s="8">
        <v>3.9300428998772403E-2</v>
      </c>
      <c r="R24" s="8">
        <v>2.539293006030505E-2</v>
      </c>
      <c r="S24" s="8">
        <v>3.682202351847999E-2</v>
      </c>
      <c r="T24" s="8">
        <v>4.618485109042033E-2</v>
      </c>
      <c r="U24" s="8">
        <v>5.5577535786091148E-2</v>
      </c>
      <c r="V24" s="8">
        <v>7.6365619622057318E-2</v>
      </c>
      <c r="W24" s="8">
        <v>1.8150182660850951E-2</v>
      </c>
      <c r="X24" s="8">
        <v>1.2231703456506961E-2</v>
      </c>
      <c r="Y24" s="8">
        <v>3.009537230584004E-2</v>
      </c>
      <c r="Z24" s="10">
        <v>3.9467346018847639E-2</v>
      </c>
    </row>
    <row r="25" spans="1:26" x14ac:dyDescent="0.3">
      <c r="A25" s="30" t="s">
        <v>22</v>
      </c>
      <c r="B25" s="36">
        <v>2.6363103310189005E-4</v>
      </c>
      <c r="C25" s="8">
        <v>2.4065256568668071E-4</v>
      </c>
      <c r="D25" s="8">
        <v>2.4599557233919361E-4</v>
      </c>
      <c r="E25" s="8">
        <v>3.6961142917616948E-4</v>
      </c>
      <c r="F25" s="8">
        <v>2.6220324911981708E-4</v>
      </c>
      <c r="G25" s="8">
        <v>0</v>
      </c>
      <c r="H25" s="8">
        <v>1.849813060832882E-3</v>
      </c>
      <c r="I25" s="8">
        <v>1.9724403029211309E-4</v>
      </c>
      <c r="J25" s="8">
        <v>3.5476681661118661E-4</v>
      </c>
      <c r="K25" s="8">
        <v>6.9350940220937868E-4</v>
      </c>
      <c r="L25" s="8">
        <v>3.438259591188827E-4</v>
      </c>
      <c r="M25" s="8">
        <v>6.6644375528981633E-4</v>
      </c>
      <c r="N25" s="8">
        <v>1.2846036414627311E-3</v>
      </c>
      <c r="O25" s="8">
        <v>5.5933385255008377E-4</v>
      </c>
      <c r="P25" s="8">
        <v>1.4619036268246829E-3</v>
      </c>
      <c r="Q25" s="8">
        <v>1.017324574029612E-3</v>
      </c>
      <c r="R25" s="8">
        <v>8.2127116296431071E-4</v>
      </c>
      <c r="S25" s="8">
        <v>1.940454955050995E-3</v>
      </c>
      <c r="T25" s="8">
        <v>2.6109426775632418E-4</v>
      </c>
      <c r="U25" s="8">
        <v>1.909196364172082E-3</v>
      </c>
      <c r="V25" s="8">
        <v>6.6912662550045474E-4</v>
      </c>
      <c r="W25" s="8">
        <v>1.192198268446438E-2</v>
      </c>
      <c r="X25" s="8">
        <v>1.4135707015807001E-3</v>
      </c>
      <c r="Y25" s="8">
        <v>1.9620979026800361E-3</v>
      </c>
      <c r="Z25" s="10">
        <v>1.576168386915677E-3</v>
      </c>
    </row>
    <row r="26" spans="1:26" x14ac:dyDescent="0.3">
      <c r="A26" s="30" t="s">
        <v>23</v>
      </c>
      <c r="B26" s="36">
        <v>2.7529415521472365E-4</v>
      </c>
      <c r="C26" s="8">
        <v>2.0441535977423189E-4</v>
      </c>
      <c r="D26" s="8">
        <v>1.5879554792403499E-4</v>
      </c>
      <c r="E26" s="8">
        <v>4.403533532089303E-4</v>
      </c>
      <c r="F26" s="8">
        <v>4.0263152232367018E-4</v>
      </c>
      <c r="G26" s="8">
        <v>0</v>
      </c>
      <c r="H26" s="8">
        <v>2.0731388649350931E-3</v>
      </c>
      <c r="I26" s="8">
        <v>2.0242080825696391E-4</v>
      </c>
      <c r="J26" s="8">
        <v>2.9937009427263611E-4</v>
      </c>
      <c r="K26" s="8">
        <v>8.0925341307877346E-4</v>
      </c>
      <c r="L26" s="8">
        <v>6.9676251086159995E-4</v>
      </c>
      <c r="M26" s="8">
        <v>5.3793287204814927E-4</v>
      </c>
      <c r="N26" s="8">
        <v>3.3677362055066501E-4</v>
      </c>
      <c r="O26" s="8">
        <v>8.8424532245259119E-4</v>
      </c>
      <c r="P26" s="8">
        <v>4.3302384103292461E-4</v>
      </c>
      <c r="Q26" s="8">
        <v>3.2872982425922911E-4</v>
      </c>
      <c r="R26" s="8">
        <v>3.6633293743371028E-4</v>
      </c>
      <c r="S26" s="8">
        <v>4.7077392619808271E-4</v>
      </c>
      <c r="T26" s="8">
        <v>3.4873697412372259E-4</v>
      </c>
      <c r="U26" s="8">
        <v>3.0925258397174318E-4</v>
      </c>
      <c r="V26" s="8">
        <v>2.0499641697104091E-4</v>
      </c>
      <c r="W26" s="8">
        <v>1.2566441712388689E-3</v>
      </c>
      <c r="X26" s="8">
        <v>2.1711104597175901E-2</v>
      </c>
      <c r="Y26" s="8">
        <v>3.4456731297876808E-3</v>
      </c>
      <c r="Z26" s="10">
        <v>2.568270411242041E-3</v>
      </c>
    </row>
    <row r="27" spans="1:26" x14ac:dyDescent="0.3">
      <c r="A27" s="30" t="s">
        <v>24</v>
      </c>
      <c r="B27" s="36">
        <v>1.0208108784759551E-2</v>
      </c>
      <c r="C27" s="8">
        <v>4.2158240414675949E-3</v>
      </c>
      <c r="D27" s="8">
        <v>5.4739623713019664E-3</v>
      </c>
      <c r="E27" s="8">
        <v>3.2015688407412558E-3</v>
      </c>
      <c r="F27" s="8">
        <v>2.8375218547417869E-3</v>
      </c>
      <c r="G27" s="8">
        <v>0</v>
      </c>
      <c r="H27" s="8">
        <v>3.7740150915993799E-3</v>
      </c>
      <c r="I27" s="8">
        <v>1.2526283276512019E-3</v>
      </c>
      <c r="J27" s="8">
        <v>3.431271238912991E-3</v>
      </c>
      <c r="K27" s="8">
        <v>2.379388167427813E-3</v>
      </c>
      <c r="L27" s="8">
        <v>1.4069762012374151E-3</v>
      </c>
      <c r="M27" s="8">
        <v>1.4999527056563411E-2</v>
      </c>
      <c r="N27" s="8">
        <v>1.595183041958699E-2</v>
      </c>
      <c r="O27" s="8">
        <v>2.9010208385224591E-2</v>
      </c>
      <c r="P27" s="8">
        <v>3.747673798196057E-3</v>
      </c>
      <c r="Q27" s="8">
        <v>1.7567815282623491E-2</v>
      </c>
      <c r="R27" s="8">
        <v>3.4811933522660402E-3</v>
      </c>
      <c r="S27" s="8">
        <v>6.5371255212567773E-4</v>
      </c>
      <c r="T27" s="8">
        <v>8.8033648607272884E-4</v>
      </c>
      <c r="U27" s="8">
        <v>2.3194502879786911E-3</v>
      </c>
      <c r="V27" s="8">
        <v>3.8051803508505088E-3</v>
      </c>
      <c r="W27" s="8">
        <v>3.7731039005323018E-3</v>
      </c>
      <c r="X27" s="8">
        <v>3.9170567389686453E-3</v>
      </c>
      <c r="Y27" s="8">
        <v>4.6316261225656338E-2</v>
      </c>
      <c r="Z27" s="10">
        <v>7.2473286377713178E-2</v>
      </c>
    </row>
    <row r="28" spans="1:26" ht="15" thickBot="1" x14ac:dyDescent="0.35">
      <c r="A28" s="46" t="s">
        <v>25</v>
      </c>
      <c r="B28" s="37">
        <v>3.6432059999285668E-4</v>
      </c>
      <c r="C28" s="38">
        <v>2.3575402106929631E-4</v>
      </c>
      <c r="D28" s="38">
        <v>4.976193979547239E-4</v>
      </c>
      <c r="E28" s="38">
        <v>3.1909637873511098E-4</v>
      </c>
      <c r="F28" s="38">
        <v>4.6580763162781179E-4</v>
      </c>
      <c r="G28" s="38">
        <v>0</v>
      </c>
      <c r="H28" s="38">
        <v>5.6281244758872367E-4</v>
      </c>
      <c r="I28" s="38">
        <v>3.58582726728274E-4</v>
      </c>
      <c r="J28" s="38">
        <v>7.5142131333864892E-4</v>
      </c>
      <c r="K28" s="38">
        <v>6.4544944623498492E-4</v>
      </c>
      <c r="L28" s="38">
        <v>1.7610711465763259E-4</v>
      </c>
      <c r="M28" s="38">
        <v>2.1567165035020499E-4</v>
      </c>
      <c r="N28" s="38">
        <v>4.726797045291247E-4</v>
      </c>
      <c r="O28" s="38">
        <v>6.0856102487954979E-4</v>
      </c>
      <c r="P28" s="38">
        <v>2.8157830766378279E-4</v>
      </c>
      <c r="Q28" s="38">
        <v>4.4962768271646358E-3</v>
      </c>
      <c r="R28" s="38">
        <v>5.6958205677985698E-4</v>
      </c>
      <c r="S28" s="38">
        <v>1.947781040818122E-4</v>
      </c>
      <c r="T28" s="38">
        <v>1.4593615614314639E-4</v>
      </c>
      <c r="U28" s="38">
        <v>1.363638527340174E-4</v>
      </c>
      <c r="V28" s="38">
        <v>3.6596595781180231E-4</v>
      </c>
      <c r="W28" s="38">
        <v>2.005339507003083E-4</v>
      </c>
      <c r="X28" s="38">
        <v>5.8566946999952176E-4</v>
      </c>
      <c r="Y28" s="38">
        <v>8.0550439330272384E-3</v>
      </c>
      <c r="Z28" s="39">
        <v>2.9072618221610089E-2</v>
      </c>
    </row>
    <row r="29" spans="1:26" ht="15" thickBot="1" x14ac:dyDescent="0.35"/>
    <row r="30" spans="1:26" ht="15" thickBot="1" x14ac:dyDescent="0.35">
      <c r="B30" s="126">
        <v>1</v>
      </c>
      <c r="C30" s="127">
        <v>2</v>
      </c>
      <c r="D30" s="127">
        <v>3</v>
      </c>
      <c r="E30" s="127">
        <v>4</v>
      </c>
      <c r="F30" s="127">
        <v>5</v>
      </c>
      <c r="G30" s="127">
        <v>6</v>
      </c>
      <c r="H30" s="127">
        <v>7</v>
      </c>
      <c r="I30" s="127">
        <v>8</v>
      </c>
      <c r="J30" s="127">
        <v>9</v>
      </c>
      <c r="K30" s="127">
        <v>10</v>
      </c>
      <c r="L30" s="127">
        <v>11</v>
      </c>
      <c r="M30" s="127">
        <v>12</v>
      </c>
      <c r="N30" s="127">
        <v>13</v>
      </c>
      <c r="O30" s="127">
        <v>14</v>
      </c>
      <c r="P30" s="127">
        <v>15</v>
      </c>
      <c r="Q30" s="127">
        <v>16</v>
      </c>
      <c r="R30" s="127">
        <v>17</v>
      </c>
      <c r="S30" s="127">
        <v>18</v>
      </c>
      <c r="T30" s="127">
        <v>19</v>
      </c>
      <c r="U30" s="127">
        <v>20</v>
      </c>
      <c r="V30" s="127">
        <v>21</v>
      </c>
      <c r="W30" s="127">
        <v>22</v>
      </c>
      <c r="X30" s="127">
        <v>23</v>
      </c>
      <c r="Y30" s="127">
        <v>24</v>
      </c>
      <c r="Z30" s="128">
        <v>25</v>
      </c>
    </row>
    <row r="31" spans="1:26" x14ac:dyDescent="0.3">
      <c r="A31" s="111" t="s">
        <v>157</v>
      </c>
      <c r="B31" s="119">
        <v>0.17774772641109704</v>
      </c>
      <c r="C31" s="119">
        <v>6.4605761360396557E-2</v>
      </c>
      <c r="D31" s="119">
        <v>2.5136741094539304E-2</v>
      </c>
      <c r="E31" s="119">
        <v>7.6560708270097776E-5</v>
      </c>
      <c r="F31" s="119">
        <v>6.515681907990672E-3</v>
      </c>
      <c r="G31" s="119">
        <v>0</v>
      </c>
      <c r="H31" s="119">
        <v>0.40953070846380774</v>
      </c>
      <c r="I31" s="119">
        <v>9.8029840698299028E-5</v>
      </c>
      <c r="J31" s="119">
        <v>3.9418755019942249E-2</v>
      </c>
      <c r="K31" s="119">
        <v>5.8192466402877597E-5</v>
      </c>
      <c r="L31" s="119">
        <v>0.10289936305450566</v>
      </c>
      <c r="M31" s="119">
        <v>7.2663724921412385E-3</v>
      </c>
      <c r="N31" s="119">
        <v>6.9139168286308744E-4</v>
      </c>
      <c r="O31" s="119">
        <v>1.750056963862996E-3</v>
      </c>
      <c r="P31" s="119">
        <v>7.9815526619115632E-5</v>
      </c>
      <c r="Q31" s="119">
        <v>2.4019326375507998E-5</v>
      </c>
      <c r="R31" s="119">
        <v>4.1587089279637803E-7</v>
      </c>
      <c r="S31" s="119">
        <v>0</v>
      </c>
      <c r="T31" s="119">
        <v>2.8650648565529311E-7</v>
      </c>
      <c r="U31" s="119">
        <v>6.1939737623629404E-5</v>
      </c>
      <c r="V31" s="119">
        <v>4.193423415294973E-2</v>
      </c>
      <c r="W31" s="119">
        <v>3.444223567243497E-2</v>
      </c>
      <c r="X31" s="119">
        <v>5.7118583682580389E-2</v>
      </c>
      <c r="Y31" s="119">
        <v>7.6209555201919221E-3</v>
      </c>
      <c r="Z31" s="120">
        <v>5.6074702376888877E-4</v>
      </c>
    </row>
    <row r="32" spans="1:26" x14ac:dyDescent="0.3">
      <c r="A32" s="121" t="s">
        <v>158</v>
      </c>
      <c r="B32" s="49">
        <v>0.10801667304693137</v>
      </c>
      <c r="C32" s="49">
        <v>4.6618601832991435E-2</v>
      </c>
      <c r="D32" s="49">
        <v>2.1944853410101228E-2</v>
      </c>
      <c r="E32" s="49">
        <v>1.0235987440941839E-4</v>
      </c>
      <c r="F32" s="49">
        <v>2.8718391574115002E-3</v>
      </c>
      <c r="G32" s="49">
        <v>0</v>
      </c>
      <c r="H32" s="49">
        <v>0.50164581792750151</v>
      </c>
      <c r="I32" s="49">
        <v>2.1655052674602861E-4</v>
      </c>
      <c r="J32" s="49">
        <v>2.0569612313863551E-2</v>
      </c>
      <c r="K32" s="49">
        <v>2.4101083116507985E-4</v>
      </c>
      <c r="L32" s="49">
        <v>7.0927072446155023E-2</v>
      </c>
      <c r="M32" s="49">
        <v>3.4454297819611047E-3</v>
      </c>
      <c r="N32" s="49">
        <v>3.0797471910631711E-4</v>
      </c>
      <c r="O32" s="49">
        <v>8.2171344459686525E-4</v>
      </c>
      <c r="P32" s="49">
        <v>1.8854948489596942E-6</v>
      </c>
      <c r="Q32" s="49">
        <v>2.1175102130293426E-5</v>
      </c>
      <c r="R32" s="49">
        <v>3.5448661428618474E-7</v>
      </c>
      <c r="S32" s="49">
        <v>1.0018850561158976E-9</v>
      </c>
      <c r="T32" s="49">
        <v>1.0999895940221141E-7</v>
      </c>
      <c r="U32" s="49">
        <v>1.3928402672518994E-5</v>
      </c>
      <c r="V32" s="49">
        <v>3.6525844128900781E-2</v>
      </c>
      <c r="W32" s="49">
        <v>7.2752249795376131E-2</v>
      </c>
      <c r="X32" s="49">
        <v>9.5490623001686176E-2</v>
      </c>
      <c r="Y32" s="49">
        <v>9.8483765564642521E-3</v>
      </c>
      <c r="Z32" s="122">
        <v>3.3536267873804826E-4</v>
      </c>
    </row>
    <row r="33" spans="1:26" ht="15" thickBot="1" x14ac:dyDescent="0.35">
      <c r="A33" s="123" t="s">
        <v>159</v>
      </c>
      <c r="B33" s="124">
        <v>6.6560140479739821E-2</v>
      </c>
      <c r="C33" s="124">
        <v>2.6405408758429467E-2</v>
      </c>
      <c r="D33" s="124">
        <v>1.9387583135717871E-2</v>
      </c>
      <c r="E33" s="124">
        <v>3.8522476419557832E-5</v>
      </c>
      <c r="F33" s="124">
        <v>3.1946077971134507E-3</v>
      </c>
      <c r="G33" s="124">
        <v>0</v>
      </c>
      <c r="H33" s="124">
        <v>0.60669729535211425</v>
      </c>
      <c r="I33" s="124">
        <v>2.5335465579882859E-7</v>
      </c>
      <c r="J33" s="124">
        <v>1.923208910646344E-2</v>
      </c>
      <c r="K33" s="124">
        <v>1.1300959684090733E-4</v>
      </c>
      <c r="L33" s="124">
        <v>5.6388489419182598E-2</v>
      </c>
      <c r="M33" s="124">
        <v>5.7425540226648608E-3</v>
      </c>
      <c r="N33" s="124">
        <v>2.0528879884818521E-3</v>
      </c>
      <c r="O33" s="124">
        <v>6.9055137272484564E-4</v>
      </c>
      <c r="P33" s="124">
        <v>1.4244004481566859E-4</v>
      </c>
      <c r="Q33" s="124">
        <v>1.8420460143254359E-4</v>
      </c>
      <c r="R33" s="124">
        <v>2.3471179801111281E-6</v>
      </c>
      <c r="S33" s="124">
        <v>8.7853395491569817E-7</v>
      </c>
      <c r="T33" s="124">
        <v>9.9420599634490979E-7</v>
      </c>
      <c r="U33" s="124">
        <v>2.4872338633479288E-5</v>
      </c>
      <c r="V33" s="124">
        <v>4.3379389610273655E-2</v>
      </c>
      <c r="W33" s="124">
        <v>3.1541289876874913E-2</v>
      </c>
      <c r="X33" s="124">
        <v>0.1231218168236005</v>
      </c>
      <c r="Y33" s="124">
        <v>4.0461839211893124E-3</v>
      </c>
      <c r="Z33" s="125">
        <v>9.7129150040349088E-4</v>
      </c>
    </row>
    <row r="35" spans="1:26" ht="15" thickBot="1" x14ac:dyDescent="0.35">
      <c r="A35" s="1" t="s">
        <v>160</v>
      </c>
    </row>
    <row r="36" spans="1:26" ht="15" thickBot="1" x14ac:dyDescent="0.35">
      <c r="B36" s="21" t="s">
        <v>329</v>
      </c>
      <c r="C36" s="22" t="s">
        <v>330</v>
      </c>
      <c r="D36" s="22" t="s">
        <v>331</v>
      </c>
      <c r="E36" s="43" t="s">
        <v>148</v>
      </c>
    </row>
    <row r="37" spans="1:26" x14ac:dyDescent="0.3">
      <c r="A37" s="26" t="s">
        <v>26</v>
      </c>
      <c r="B37" s="5">
        <v>41722.197183818309</v>
      </c>
      <c r="C37" s="6">
        <v>20358.860979541736</v>
      </c>
      <c r="D37" s="6">
        <v>10197.272479151634</v>
      </c>
      <c r="E37" s="45">
        <v>729</v>
      </c>
      <c r="H37" s="15"/>
    </row>
    <row r="38" spans="1:26" x14ac:dyDescent="0.3">
      <c r="A38" s="27" t="s">
        <v>28</v>
      </c>
      <c r="B38" s="7">
        <v>9425.015171514071</v>
      </c>
      <c r="C38" s="8">
        <v>3158.9145050389807</v>
      </c>
      <c r="D38" s="8">
        <v>1273.3978165952694</v>
      </c>
      <c r="E38" s="10">
        <v>729</v>
      </c>
      <c r="H38" s="15"/>
    </row>
    <row r="39" spans="1:26" ht="15" thickBot="1" x14ac:dyDescent="0.35">
      <c r="A39" s="47" t="s">
        <v>27</v>
      </c>
      <c r="B39" s="44">
        <v>4615.9243319509169</v>
      </c>
      <c r="C39" s="38">
        <v>1685.6286477296694</v>
      </c>
      <c r="D39" s="38">
        <v>899.89728356910837</v>
      </c>
      <c r="E39" s="39">
        <v>729</v>
      </c>
      <c r="H39" s="15"/>
    </row>
    <row r="41" spans="1:26" s="12" customFormat="1" ht="15" thickBot="1" x14ac:dyDescent="0.35">
      <c r="A41" s="11" t="s">
        <v>149</v>
      </c>
    </row>
    <row r="42" spans="1:26" ht="15" thickBot="1" x14ac:dyDescent="0.35">
      <c r="A42" s="21" t="s">
        <v>150</v>
      </c>
      <c r="B42" s="22" t="s">
        <v>28</v>
      </c>
      <c r="C42" s="43" t="s">
        <v>27</v>
      </c>
    </row>
    <row r="43" spans="1:26" ht="15" thickBot="1" x14ac:dyDescent="0.35">
      <c r="A43" s="55">
        <v>0.29482684053709995</v>
      </c>
      <c r="B43" s="56">
        <v>0.35086762937431448</v>
      </c>
      <c r="C43" s="57">
        <v>0.20979436962937525</v>
      </c>
    </row>
    <row r="44" spans="1:26" ht="15" thickBot="1" x14ac:dyDescent="0.35"/>
    <row r="45" spans="1:26" ht="15" thickBot="1" x14ac:dyDescent="0.35">
      <c r="B45" s="111">
        <v>1</v>
      </c>
      <c r="C45" s="82">
        <v>2</v>
      </c>
      <c r="D45" s="82">
        <v>3</v>
      </c>
      <c r="E45" s="82">
        <v>4</v>
      </c>
      <c r="F45" s="82">
        <v>5</v>
      </c>
      <c r="G45" s="82">
        <v>6</v>
      </c>
      <c r="H45" s="82">
        <v>7</v>
      </c>
      <c r="I45" s="82">
        <v>8</v>
      </c>
      <c r="J45" s="82">
        <v>9</v>
      </c>
      <c r="K45" s="82">
        <v>10</v>
      </c>
      <c r="L45" s="82">
        <v>11</v>
      </c>
      <c r="M45" s="82">
        <v>12</v>
      </c>
      <c r="N45" s="82">
        <v>13</v>
      </c>
      <c r="O45" s="82">
        <v>14</v>
      </c>
      <c r="P45" s="82">
        <v>15</v>
      </c>
      <c r="Q45" s="82">
        <v>16</v>
      </c>
      <c r="R45" s="82">
        <v>17</v>
      </c>
      <c r="S45" s="82">
        <v>18</v>
      </c>
      <c r="T45" s="82">
        <v>19</v>
      </c>
      <c r="U45" s="82">
        <v>20</v>
      </c>
      <c r="V45" s="82">
        <v>21</v>
      </c>
      <c r="W45" s="82">
        <v>22</v>
      </c>
      <c r="X45" s="82">
        <v>23</v>
      </c>
      <c r="Y45" s="82">
        <v>24</v>
      </c>
      <c r="Z45" s="83">
        <v>25</v>
      </c>
    </row>
    <row r="46" spans="1:26" ht="15" thickBot="1" x14ac:dyDescent="0.35">
      <c r="A46" s="1" t="s">
        <v>151</v>
      </c>
      <c r="B46" s="55">
        <v>4.3879665989159898E-3</v>
      </c>
      <c r="C46" s="56">
        <v>8.2385779131770678E-4</v>
      </c>
      <c r="D46" s="56">
        <v>5.7005342116020822E-4</v>
      </c>
      <c r="E46" s="56">
        <v>7.5134654712863652E-5</v>
      </c>
      <c r="F46" s="56">
        <v>1.1329641417558552E-2</v>
      </c>
      <c r="G46" s="56">
        <v>0</v>
      </c>
      <c r="H46" s="56">
        <v>0.64120252476339601</v>
      </c>
      <c r="I46" s="56">
        <v>1.1291808755216165E-8</v>
      </c>
      <c r="J46" s="56">
        <v>3.2386712581228719E-3</v>
      </c>
      <c r="K46" s="56">
        <v>6.8995992706133527E-6</v>
      </c>
      <c r="L46" s="56">
        <v>2.036592225679288E-3</v>
      </c>
      <c r="M46" s="56">
        <v>1.0039373962862416E-3</v>
      </c>
      <c r="N46" s="56">
        <v>1.4478482014102184E-4</v>
      </c>
      <c r="O46" s="56">
        <v>2.1188999265732566E-4</v>
      </c>
      <c r="P46" s="56">
        <v>1.1226768859118198E-5</v>
      </c>
      <c r="Q46" s="56">
        <v>5.260912236879159E-6</v>
      </c>
      <c r="R46" s="56">
        <v>2.2698140712289914E-7</v>
      </c>
      <c r="S46" s="56">
        <v>0</v>
      </c>
      <c r="T46" s="56">
        <v>1.0678626375362471E-8</v>
      </c>
      <c r="U46" s="56">
        <v>1.4118255749478777E-7</v>
      </c>
      <c r="V46" s="56">
        <v>8.5120158589863121E-3</v>
      </c>
      <c r="W46" s="56">
        <v>0.13570964704441221</v>
      </c>
      <c r="X46" s="56">
        <v>0.18157278870888494</v>
      </c>
      <c r="Y46" s="56">
        <v>8.5757544858296158E-3</v>
      </c>
      <c r="Z46" s="129">
        <v>5.8096214717281232E-4</v>
      </c>
    </row>
    <row r="47" spans="1:26" ht="15" thickBot="1" x14ac:dyDescent="0.35">
      <c r="A47" s="1" t="s">
        <v>152</v>
      </c>
      <c r="B47" s="55">
        <v>1.3354846416122045E-2</v>
      </c>
      <c r="C47" s="56">
        <v>4.4556010731934999E-3</v>
      </c>
      <c r="D47" s="56">
        <v>1.3984899693868923E-2</v>
      </c>
      <c r="E47" s="56">
        <v>2.890679992616196E-3</v>
      </c>
      <c r="F47" s="56">
        <v>0.47364458186086777</v>
      </c>
      <c r="G47" s="56">
        <v>0</v>
      </c>
      <c r="H47" s="56">
        <v>0.16394472789808701</v>
      </c>
      <c r="I47" s="56">
        <v>2.3888648843460123E-4</v>
      </c>
      <c r="J47" s="56">
        <v>3.8521730045060452E-3</v>
      </c>
      <c r="K47" s="56">
        <v>7.4040779780666134E-5</v>
      </c>
      <c r="L47" s="56">
        <v>0.31646782888735797</v>
      </c>
      <c r="M47" s="56">
        <v>6.5818485282423074E-6</v>
      </c>
      <c r="N47" s="56">
        <v>2.2222293915034464E-6</v>
      </c>
      <c r="O47" s="56">
        <v>9.6158118685112176E-7</v>
      </c>
      <c r="P47" s="56">
        <v>1.0874616565729867E-6</v>
      </c>
      <c r="Q47" s="56">
        <v>1.1357186103588806E-6</v>
      </c>
      <c r="R47" s="56">
        <v>3.2749589898499056E-7</v>
      </c>
      <c r="S47" s="56">
        <v>0</v>
      </c>
      <c r="T47" s="56">
        <v>2.1811663595441751E-12</v>
      </c>
      <c r="U47" s="56">
        <v>1.7119137955114244E-10</v>
      </c>
      <c r="V47" s="56">
        <v>6.5721277524178898E-3</v>
      </c>
      <c r="W47" s="56">
        <v>1.7889828708902072E-4</v>
      </c>
      <c r="X47" s="56">
        <v>2.7697352531311768E-4</v>
      </c>
      <c r="Y47" s="56">
        <v>3.5430996781509578E-5</v>
      </c>
      <c r="Z47" s="129">
        <v>1.5986834918614808E-5</v>
      </c>
    </row>
    <row r="48" spans="1:26" ht="15" thickBot="1" x14ac:dyDescent="0.35">
      <c r="A48" s="1" t="s">
        <v>161</v>
      </c>
      <c r="B48" s="55">
        <v>10391940.485705661</v>
      </c>
      <c r="C48" s="56">
        <v>4627851.7004338298</v>
      </c>
      <c r="D48" s="56">
        <v>4902357.8153394423</v>
      </c>
      <c r="E48" s="56">
        <v>898664.60247264965</v>
      </c>
      <c r="F48" s="56">
        <v>18586225.859953921</v>
      </c>
      <c r="G48" s="56">
        <v>0</v>
      </c>
      <c r="H48" s="56">
        <v>68648884.384870082</v>
      </c>
      <c r="I48" s="56">
        <v>373719.76314673742</v>
      </c>
      <c r="J48" s="56">
        <v>6249258.6959929056</v>
      </c>
      <c r="K48" s="56">
        <v>26744.438680765001</v>
      </c>
      <c r="L48" s="56">
        <v>22315739.755196512</v>
      </c>
      <c r="M48" s="56">
        <v>975490.67347856739</v>
      </c>
      <c r="N48" s="56">
        <v>192948.23248018211</v>
      </c>
      <c r="O48" s="56">
        <v>185336.12021725989</v>
      </c>
      <c r="P48" s="56">
        <v>17530.922144347609</v>
      </c>
      <c r="Q48" s="56">
        <v>21179.586321891122</v>
      </c>
      <c r="R48" s="56">
        <v>1832.2011806076539</v>
      </c>
      <c r="S48" s="56">
        <v>67.246871694709</v>
      </c>
      <c r="T48" s="56">
        <v>104.688969337391</v>
      </c>
      <c r="U48" s="56">
        <v>4482.8930931719333</v>
      </c>
      <c r="V48" s="56">
        <v>5571115.3581775818</v>
      </c>
      <c r="W48" s="56">
        <v>3986333.83447586</v>
      </c>
      <c r="X48" s="56">
        <v>7283823.3412830103</v>
      </c>
      <c r="Y48" s="56">
        <v>1061746.86624524</v>
      </c>
      <c r="Z48" s="57">
        <v>121638.29168499701</v>
      </c>
    </row>
    <row r="49" spans="1:26" ht="15" thickBot="1" x14ac:dyDescent="0.35">
      <c r="A49" s="1" t="s">
        <v>162</v>
      </c>
      <c r="B49" s="55">
        <v>410442.38958287629</v>
      </c>
      <c r="C49" s="56">
        <v>149006.79456475456</v>
      </c>
      <c r="D49" s="56">
        <v>304293.65181818302</v>
      </c>
      <c r="E49" s="56">
        <v>83421.039291101144</v>
      </c>
      <c r="F49" s="56">
        <v>890713.36998937884</v>
      </c>
      <c r="G49" s="56">
        <v>0</v>
      </c>
      <c r="H49" s="56">
        <v>7208898.3037916562</v>
      </c>
      <c r="I49" s="56">
        <v>11816.442868641143</v>
      </c>
      <c r="J49" s="56">
        <v>267215.33975290356</v>
      </c>
      <c r="K49" s="56">
        <v>1629.4249592013061</v>
      </c>
      <c r="L49" s="56">
        <v>894379.40870946576</v>
      </c>
      <c r="M49" s="56">
        <v>108908.23525392363</v>
      </c>
      <c r="N49" s="56">
        <v>56520.229540558401</v>
      </c>
      <c r="O49" s="56">
        <v>73691.044680160165</v>
      </c>
      <c r="P49" s="56">
        <v>6891.1681585720353</v>
      </c>
      <c r="Q49" s="56">
        <v>2422.7947139555849</v>
      </c>
      <c r="R49" s="56">
        <v>606.62134063350152</v>
      </c>
      <c r="S49" s="56">
        <v>11.634883288614899</v>
      </c>
      <c r="T49" s="56">
        <v>35.855056788975247</v>
      </c>
      <c r="U49" s="56">
        <v>1890.9300315748847</v>
      </c>
      <c r="V49" s="56">
        <v>485478.545291638</v>
      </c>
      <c r="W49" s="56">
        <v>301599.67535694916</v>
      </c>
      <c r="X49" s="56">
        <v>311466.10934705607</v>
      </c>
      <c r="Y49" s="56">
        <v>136185.42882592752</v>
      </c>
      <c r="Z49" s="53">
        <v>14480.29082642598</v>
      </c>
    </row>
    <row r="50" spans="1:26" ht="15" thickBot="1" x14ac:dyDescent="0.35">
      <c r="A50" s="1" t="s">
        <v>163</v>
      </c>
      <c r="B50" s="51">
        <v>0.72680491788751733</v>
      </c>
      <c r="C50" s="52">
        <v>0.59601031697498952</v>
      </c>
      <c r="D50" s="52">
        <v>0.72359314659967167</v>
      </c>
      <c r="E50" s="52">
        <v>1.8198613897963907</v>
      </c>
      <c r="F50" s="52">
        <v>0.34209637141763222</v>
      </c>
      <c r="G50" s="52">
        <v>0</v>
      </c>
      <c r="H50" s="52">
        <v>1.7402906694494393</v>
      </c>
      <c r="I50" s="52">
        <v>0.72359314659967167</v>
      </c>
      <c r="J50" s="52">
        <v>1.3705114547488284</v>
      </c>
      <c r="K50" s="52">
        <v>1.7402906694494393</v>
      </c>
      <c r="L50" s="52">
        <v>0.57713321329632949</v>
      </c>
      <c r="M50" s="52">
        <v>1.7402906694494393</v>
      </c>
      <c r="N50" s="52">
        <v>1.7402906694494393</v>
      </c>
      <c r="O50" s="52">
        <v>1.7402906694494393</v>
      </c>
      <c r="P50" s="52">
        <v>1.7402906694494393</v>
      </c>
      <c r="Q50" s="52">
        <v>1.7402906694494393</v>
      </c>
      <c r="R50" s="52">
        <v>1.7402906694494393</v>
      </c>
      <c r="S50" s="52">
        <v>1.7402906694494393</v>
      </c>
      <c r="T50" s="52">
        <v>1.7402906694494393</v>
      </c>
      <c r="U50" s="52">
        <v>1.7402906694494393</v>
      </c>
      <c r="V50" s="52">
        <v>1.2504886469609091</v>
      </c>
      <c r="W50" s="52">
        <v>0.85956973352321664</v>
      </c>
      <c r="X50" s="52">
        <v>1.1522154849231165</v>
      </c>
      <c r="Y50" s="52">
        <v>1.7402906694494393</v>
      </c>
      <c r="Z50" s="53">
        <v>1.7402906694494393</v>
      </c>
    </row>
    <row r="52" spans="1:26" ht="15" thickBot="1" x14ac:dyDescent="0.35">
      <c r="A52" s="1" t="s">
        <v>153</v>
      </c>
    </row>
    <row r="53" spans="1:26" ht="28.8" x14ac:dyDescent="0.3">
      <c r="A53" s="29" t="s">
        <v>154</v>
      </c>
      <c r="B53" s="66">
        <v>0.1</v>
      </c>
    </row>
    <row r="54" spans="1:26" ht="28.8" x14ac:dyDescent="0.3">
      <c r="A54" s="30" t="s">
        <v>155</v>
      </c>
      <c r="B54" s="58">
        <v>0.5</v>
      </c>
    </row>
    <row r="55" spans="1:26" ht="29.4" thickBot="1" x14ac:dyDescent="0.35">
      <c r="A55" s="46" t="s">
        <v>156</v>
      </c>
      <c r="B55" s="59">
        <v>1</v>
      </c>
    </row>
    <row r="58" spans="1:26" x14ac:dyDescent="0.3">
      <c r="A58" s="1" t="s">
        <v>135</v>
      </c>
    </row>
    <row r="59" spans="1:26" ht="15" thickBot="1" x14ac:dyDescent="0.35">
      <c r="A59" s="41" t="s">
        <v>88</v>
      </c>
    </row>
    <row r="60" spans="1:26" ht="15" thickBot="1" x14ac:dyDescent="0.35">
      <c r="A60" s="31" t="s">
        <v>0</v>
      </c>
      <c r="B60" s="55">
        <v>1</v>
      </c>
      <c r="C60" s="67">
        <f>B60+1</f>
        <v>2</v>
      </c>
      <c r="D60" s="67">
        <f t="shared" ref="D60:Z60" si="0">C60+1</f>
        <v>3</v>
      </c>
      <c r="E60" s="67">
        <f t="shared" si="0"/>
        <v>4</v>
      </c>
      <c r="F60" s="67">
        <f t="shared" si="0"/>
        <v>5</v>
      </c>
      <c r="G60" s="67">
        <f t="shared" si="0"/>
        <v>6</v>
      </c>
      <c r="H60" s="67">
        <f t="shared" si="0"/>
        <v>7</v>
      </c>
      <c r="I60" s="67">
        <f t="shared" si="0"/>
        <v>8</v>
      </c>
      <c r="J60" s="67">
        <f t="shared" si="0"/>
        <v>9</v>
      </c>
      <c r="K60" s="67">
        <f t="shared" si="0"/>
        <v>10</v>
      </c>
      <c r="L60" s="67">
        <f t="shared" si="0"/>
        <v>11</v>
      </c>
      <c r="M60" s="67">
        <f t="shared" si="0"/>
        <v>12</v>
      </c>
      <c r="N60" s="67">
        <f t="shared" si="0"/>
        <v>13</v>
      </c>
      <c r="O60" s="67">
        <f t="shared" si="0"/>
        <v>14</v>
      </c>
      <c r="P60" s="67">
        <f t="shared" si="0"/>
        <v>15</v>
      </c>
      <c r="Q60" s="67">
        <f t="shared" si="0"/>
        <v>16</v>
      </c>
      <c r="R60" s="67">
        <f t="shared" si="0"/>
        <v>17</v>
      </c>
      <c r="S60" s="67">
        <f t="shared" si="0"/>
        <v>18</v>
      </c>
      <c r="T60" s="67">
        <f t="shared" si="0"/>
        <v>19</v>
      </c>
      <c r="U60" s="67">
        <f t="shared" si="0"/>
        <v>20</v>
      </c>
      <c r="V60" s="67">
        <f t="shared" si="0"/>
        <v>21</v>
      </c>
      <c r="W60" s="67">
        <f t="shared" si="0"/>
        <v>22</v>
      </c>
      <c r="X60" s="67">
        <f t="shared" si="0"/>
        <v>23</v>
      </c>
      <c r="Y60" s="67">
        <f t="shared" si="0"/>
        <v>24</v>
      </c>
      <c r="Z60" s="130">
        <f t="shared" si="0"/>
        <v>25</v>
      </c>
    </row>
    <row r="61" spans="1:26" x14ac:dyDescent="0.3">
      <c r="A61" s="32">
        <f>1</f>
        <v>1</v>
      </c>
      <c r="B61" s="33">
        <v>0.366764437067015</v>
      </c>
      <c r="C61" s="34">
        <v>5.6936153557802599E-2</v>
      </c>
      <c r="D61" s="34">
        <v>3.4429440165578101E-3</v>
      </c>
      <c r="E61" s="34">
        <v>1.0136938011790201E-2</v>
      </c>
      <c r="F61" s="34">
        <v>6.1847568492036896E-3</v>
      </c>
      <c r="G61" s="34">
        <v>0</v>
      </c>
      <c r="H61" s="34">
        <v>1.7175134639272002E-2</v>
      </c>
      <c r="I61" s="34">
        <v>5.0141643913594099E-3</v>
      </c>
      <c r="J61" s="34">
        <v>3.78155857829022E-2</v>
      </c>
      <c r="K61" s="34">
        <v>3.5500921793597498E-2</v>
      </c>
      <c r="L61" s="34">
        <v>3.3938254570127701E-3</v>
      </c>
      <c r="M61" s="34">
        <v>5.38787293918256E-3</v>
      </c>
      <c r="N61" s="34">
        <v>2.7798432323902201E-3</v>
      </c>
      <c r="O61" s="34">
        <v>5.0381707423904397E-3</v>
      </c>
      <c r="P61" s="34">
        <v>1.433003571615E-2</v>
      </c>
      <c r="Q61" s="34">
        <v>1.80520831719681E-2</v>
      </c>
      <c r="R61" s="34">
        <v>1.2001255766510699E-2</v>
      </c>
      <c r="S61" s="34">
        <v>5.6387895162083701E-4</v>
      </c>
      <c r="T61" s="34">
        <v>4.17798119185452E-3</v>
      </c>
      <c r="U61" s="34">
        <v>1.93280779894325E-3</v>
      </c>
      <c r="V61" s="34">
        <v>9.6009390723815202E-3</v>
      </c>
      <c r="W61" s="34">
        <v>6.8781522715970602E-3</v>
      </c>
      <c r="X61" s="34">
        <v>1.8393202038955399E-2</v>
      </c>
      <c r="Y61" s="34">
        <v>8.3612088645359101E-3</v>
      </c>
      <c r="Z61" s="35">
        <v>5.6125556400721203E-3</v>
      </c>
    </row>
    <row r="62" spans="1:26" ht="28.65" customHeight="1" x14ac:dyDescent="0.3">
      <c r="A62" s="27">
        <f>A61+1</f>
        <v>2</v>
      </c>
      <c r="B62" s="36">
        <v>9.4258928182877101E-3</v>
      </c>
      <c r="C62" s="8">
        <v>0.29280142439067691</v>
      </c>
      <c r="D62" s="8">
        <v>1.014678051096888E-3</v>
      </c>
      <c r="E62" s="8">
        <v>3.278567745648405E-3</v>
      </c>
      <c r="F62" s="8">
        <v>1.0717471989902789E-2</v>
      </c>
      <c r="G62" s="8">
        <v>0</v>
      </c>
      <c r="H62" s="8">
        <v>6.1609129924113364E-3</v>
      </c>
      <c r="I62" s="8">
        <v>7.2253512717702115E-4</v>
      </c>
      <c r="J62" s="8">
        <v>2.6216406825332491E-2</v>
      </c>
      <c r="K62" s="8">
        <v>9.8844402247261209E-3</v>
      </c>
      <c r="L62" s="8">
        <v>1.006658099016669E-2</v>
      </c>
      <c r="M62" s="8">
        <v>2.4585975227149198E-3</v>
      </c>
      <c r="N62" s="8">
        <v>1.154337730442586E-3</v>
      </c>
      <c r="O62" s="8">
        <v>3.9395878611897597E-3</v>
      </c>
      <c r="P62" s="8">
        <v>1.5451081369657921E-3</v>
      </c>
      <c r="Q62" s="8">
        <v>8.1253808989896516E-3</v>
      </c>
      <c r="R62" s="8">
        <v>6.9002095263566311E-3</v>
      </c>
      <c r="S62" s="8">
        <v>4.4368315181425442E-4</v>
      </c>
      <c r="T62" s="8">
        <v>2.2769261436369243E-3</v>
      </c>
      <c r="U62" s="8">
        <v>1.7520667435385641E-3</v>
      </c>
      <c r="V62" s="8">
        <v>2.803273539918489E-3</v>
      </c>
      <c r="W62" s="8">
        <v>3.216585085174944E-3</v>
      </c>
      <c r="X62" s="8">
        <v>9.3487377812535889E-3</v>
      </c>
      <c r="Y62" s="8">
        <v>5.8016763700777536E-3</v>
      </c>
      <c r="Z62" s="10">
        <v>4.3034332601158652E-3</v>
      </c>
    </row>
    <row r="63" spans="1:26" x14ac:dyDescent="0.3">
      <c r="A63" s="27">
        <f t="shared" ref="A63:A85" si="1">A62+1</f>
        <v>3</v>
      </c>
      <c r="B63" s="36">
        <v>1.5150868727370446E-3</v>
      </c>
      <c r="C63" s="8">
        <v>2.3943342946349685E-3</v>
      </c>
      <c r="D63" s="8">
        <v>5.4114946264822598E-2</v>
      </c>
      <c r="E63" s="8">
        <v>5.9856890186228183E-3</v>
      </c>
      <c r="F63" s="8">
        <v>4.5288000095578913E-3</v>
      </c>
      <c r="G63" s="8">
        <v>0</v>
      </c>
      <c r="H63" s="8">
        <v>1.2293233250846101E-3</v>
      </c>
      <c r="I63" s="8">
        <v>9.6278595247253282E-2</v>
      </c>
      <c r="J63" s="8">
        <v>4.2463557138090885E-3</v>
      </c>
      <c r="K63" s="8">
        <v>1.4704527886748135E-2</v>
      </c>
      <c r="L63" s="8">
        <v>1.7027473663557802E-3</v>
      </c>
      <c r="M63" s="8">
        <v>3.84175476695061E-2</v>
      </c>
      <c r="N63" s="8">
        <v>1.1667570642036329E-3</v>
      </c>
      <c r="O63" s="8">
        <v>2.9405846717287095E-3</v>
      </c>
      <c r="P63" s="8">
        <v>2.8187706484568771E-3</v>
      </c>
      <c r="Q63" s="8">
        <v>4.9052078813825225E-3</v>
      </c>
      <c r="R63" s="8">
        <v>2.5352122088471304E-3</v>
      </c>
      <c r="S63" s="8">
        <v>6.3163060878627858E-2</v>
      </c>
      <c r="T63" s="8">
        <v>1.8092385095515598E-2</v>
      </c>
      <c r="U63" s="8">
        <v>3.2552560456279157E-3</v>
      </c>
      <c r="V63" s="8">
        <v>1.5316359869788826E-2</v>
      </c>
      <c r="W63" s="8">
        <v>9.0561841907197446E-4</v>
      </c>
      <c r="X63" s="8">
        <v>5.0490060429639425E-4</v>
      </c>
      <c r="Y63" s="8">
        <v>2.2042741712067276E-3</v>
      </c>
      <c r="Z63" s="10">
        <v>1.7518975561528192E-3</v>
      </c>
    </row>
    <row r="64" spans="1:26" x14ac:dyDescent="0.3">
      <c r="A64" s="27">
        <f t="shared" si="1"/>
        <v>4</v>
      </c>
      <c r="B64" s="36">
        <v>1.1600862198720904E-3</v>
      </c>
      <c r="C64" s="8">
        <v>1.1557855641466982E-3</v>
      </c>
      <c r="D64" s="8">
        <v>1.5858700766764192E-3</v>
      </c>
      <c r="E64" s="8">
        <v>5.258074775664668E-2</v>
      </c>
      <c r="F64" s="8">
        <v>2.2161540165144641E-2</v>
      </c>
      <c r="G64" s="8">
        <v>0</v>
      </c>
      <c r="H64" s="8">
        <v>4.4619796468140985E-4</v>
      </c>
      <c r="I64" s="8">
        <v>2.7961525241762888E-3</v>
      </c>
      <c r="J64" s="8">
        <v>1.1901405570630831E-2</v>
      </c>
      <c r="K64" s="8">
        <v>1.0883564655487236E-2</v>
      </c>
      <c r="L64" s="8">
        <v>3.2467047416378579E-3</v>
      </c>
      <c r="M64" s="8">
        <v>1.5569685954771599E-3</v>
      </c>
      <c r="N64" s="8">
        <v>1.4136290406703989E-3</v>
      </c>
      <c r="O64" s="8">
        <v>5.2455745996794687E-3</v>
      </c>
      <c r="P64" s="8">
        <v>2.067490711820729E-3</v>
      </c>
      <c r="Q64" s="8">
        <v>2.1530497881070082E-3</v>
      </c>
      <c r="R64" s="8">
        <v>8.1562691823461736E-3</v>
      </c>
      <c r="S64" s="8">
        <v>6.5082608533181051E-5</v>
      </c>
      <c r="T64" s="8">
        <v>8.6288520687485843E-3</v>
      </c>
      <c r="U64" s="8">
        <v>2.7030766698092172E-3</v>
      </c>
      <c r="V64" s="8">
        <v>3.3544584490898991E-4</v>
      </c>
      <c r="W64" s="8">
        <v>3.1121458410870192E-4</v>
      </c>
      <c r="X64" s="8">
        <v>4.8149050287959886E-4</v>
      </c>
      <c r="Y64" s="8">
        <v>2.5291051875058132E-3</v>
      </c>
      <c r="Z64" s="10">
        <v>1.2099108389542633E-3</v>
      </c>
    </row>
    <row r="65" spans="1:26" x14ac:dyDescent="0.3">
      <c r="A65" s="27">
        <f t="shared" si="1"/>
        <v>5</v>
      </c>
      <c r="B65" s="36">
        <v>1.01475217764049E-2</v>
      </c>
      <c r="C65" s="8">
        <v>3.9196032697089302E-2</v>
      </c>
      <c r="D65" s="8">
        <v>1.80121453218463E-2</v>
      </c>
      <c r="E65" s="8">
        <v>3.2964558147885299E-2</v>
      </c>
      <c r="F65" s="8">
        <v>0.20824782128307301</v>
      </c>
      <c r="G65" s="8">
        <v>0</v>
      </c>
      <c r="H65" s="8">
        <v>1.3723381839687699E-2</v>
      </c>
      <c r="I65" s="8">
        <v>8.07734178908108E-3</v>
      </c>
      <c r="J65" s="8">
        <v>7.8244868195230896E-2</v>
      </c>
      <c r="K65" s="8">
        <v>2.3383465843341202E-2</v>
      </c>
      <c r="L65" s="8">
        <v>0.103790955887217</v>
      </c>
      <c r="M65" s="8">
        <v>2.8739885738178199E-2</v>
      </c>
      <c r="N65" s="8">
        <v>4.0069082549776203E-2</v>
      </c>
      <c r="O65" s="8">
        <v>3.77958483200901E-2</v>
      </c>
      <c r="P65" s="8">
        <v>2.94677155712629E-2</v>
      </c>
      <c r="Q65" s="8">
        <v>5.6097606382478099E-2</v>
      </c>
      <c r="R65" s="8">
        <v>5.1733170223390003E-2</v>
      </c>
      <c r="S65" s="8">
        <v>2.4652455728991499E-2</v>
      </c>
      <c r="T65" s="8">
        <v>2.6187940076536801E-2</v>
      </c>
      <c r="U65" s="8">
        <v>3.6790206094792603E-2</v>
      </c>
      <c r="V65" s="8">
        <v>6.3422188079354297E-3</v>
      </c>
      <c r="W65" s="8">
        <v>1.16014832965618E-2</v>
      </c>
      <c r="X65" s="8">
        <v>1.2625299393220799E-2</v>
      </c>
      <c r="Y65" s="8">
        <v>4.9311057453861599E-2</v>
      </c>
      <c r="Z65" s="10">
        <v>2.8965603231233299E-2</v>
      </c>
    </row>
    <row r="66" spans="1:26" x14ac:dyDescent="0.3">
      <c r="A66" s="27">
        <f t="shared" si="1"/>
        <v>6</v>
      </c>
      <c r="B66" s="36">
        <v>0</v>
      </c>
      <c r="C66" s="8">
        <v>0</v>
      </c>
      <c r="D66" s="8">
        <v>0</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8">
        <v>0</v>
      </c>
      <c r="Z66" s="10">
        <v>0</v>
      </c>
    </row>
    <row r="67" spans="1:26" x14ac:dyDescent="0.3">
      <c r="A67" s="27">
        <f t="shared" si="1"/>
        <v>7</v>
      </c>
      <c r="B67" s="36">
        <v>0.16028201364348199</v>
      </c>
      <c r="C67" s="8">
        <v>0.140644419374166</v>
      </c>
      <c r="D67" s="8">
        <v>0.133159876791589</v>
      </c>
      <c r="E67" s="8">
        <v>0.20167080261919701</v>
      </c>
      <c r="F67" s="8">
        <v>0.15957594232281</v>
      </c>
      <c r="G67" s="8">
        <v>0</v>
      </c>
      <c r="H67" s="8">
        <v>0.26467017986959102</v>
      </c>
      <c r="I67" s="8">
        <v>0.10044933067508401</v>
      </c>
      <c r="J67" s="8">
        <v>0.15926042391827899</v>
      </c>
      <c r="K67" s="8">
        <v>0.230728190637638</v>
      </c>
      <c r="L67" s="8">
        <v>0.16022238810464001</v>
      </c>
      <c r="M67" s="8">
        <v>0.24301457608676899</v>
      </c>
      <c r="N67" s="8">
        <v>0.21416240297202499</v>
      </c>
      <c r="O67" s="8">
        <v>0.183788236880644</v>
      </c>
      <c r="P67" s="8">
        <v>0.19625113009974501</v>
      </c>
      <c r="Q67" s="8">
        <v>0.33320243306493302</v>
      </c>
      <c r="R67" s="8">
        <v>0.20513075044843501</v>
      </c>
      <c r="S67" s="8">
        <v>0.11613295566873</v>
      </c>
      <c r="T67" s="8">
        <v>0.24801022780197499</v>
      </c>
      <c r="U67" s="8">
        <v>0.223624391691672</v>
      </c>
      <c r="V67" s="8">
        <v>0.25064135522724201</v>
      </c>
      <c r="W67" s="8">
        <v>0.171990752192026</v>
      </c>
      <c r="X67" s="8">
        <v>0.21865320442542799</v>
      </c>
      <c r="Y67" s="8">
        <v>0.19583313106608799</v>
      </c>
      <c r="Z67" s="10">
        <v>0.27314692113524902</v>
      </c>
    </row>
    <row r="68" spans="1:26" x14ac:dyDescent="0.3">
      <c r="A68" s="27">
        <f t="shared" si="1"/>
        <v>8</v>
      </c>
      <c r="B68" s="36">
        <v>1.20665402501972E-4</v>
      </c>
      <c r="C68" s="8">
        <v>3.89970267581099E-4</v>
      </c>
      <c r="D68" s="8">
        <v>1.5024882946155199E-2</v>
      </c>
      <c r="E68" s="8">
        <v>9.3582984736613299E-4</v>
      </c>
      <c r="F68" s="8">
        <v>2.71377689996667E-3</v>
      </c>
      <c r="G68" s="8">
        <v>0</v>
      </c>
      <c r="H68" s="8">
        <v>2.5572560842445599E-4</v>
      </c>
      <c r="I68" s="8">
        <v>2.7467514807638298E-2</v>
      </c>
      <c r="J68" s="8">
        <v>2.4871275540200102E-2</v>
      </c>
      <c r="K68" s="8">
        <v>1.35677787473531E-2</v>
      </c>
      <c r="L68" s="8">
        <v>2.2029266896525499E-4</v>
      </c>
      <c r="M68" s="8">
        <v>3.2435625601778999E-3</v>
      </c>
      <c r="N68" s="8">
        <v>5.2643000887705701E-4</v>
      </c>
      <c r="O68" s="8">
        <v>1.16495964150459E-3</v>
      </c>
      <c r="P68" s="8">
        <v>1.00457590099743E-3</v>
      </c>
      <c r="Q68" s="8">
        <v>1.5265805575712999E-3</v>
      </c>
      <c r="R68" s="8">
        <v>1.39870140444915E-3</v>
      </c>
      <c r="S68" s="8">
        <v>1.52062888807179E-2</v>
      </c>
      <c r="T68" s="8">
        <v>3.8355862322307999E-3</v>
      </c>
      <c r="U68" s="8">
        <v>1.8919152914122701E-3</v>
      </c>
      <c r="V68" s="8">
        <v>7.4102038255214097E-3</v>
      </c>
      <c r="W68" s="8">
        <v>3.98486775168565E-4</v>
      </c>
      <c r="X68" s="8">
        <v>1.2972169023967001E-4</v>
      </c>
      <c r="Y68" s="8">
        <v>8.0553879571171696E-4</v>
      </c>
      <c r="Z68" s="10">
        <v>9.7661399382555189E-4</v>
      </c>
    </row>
    <row r="69" spans="1:26" x14ac:dyDescent="0.3">
      <c r="A69" s="27">
        <f t="shared" si="1"/>
        <v>9</v>
      </c>
      <c r="B69" s="36">
        <v>2.9542517471875598E-2</v>
      </c>
      <c r="C69" s="8">
        <v>5.8390700397720499E-2</v>
      </c>
      <c r="D69" s="8">
        <v>1.7043331891018601E-2</v>
      </c>
      <c r="E69" s="8">
        <v>2.2643414922966201E-2</v>
      </c>
      <c r="F69" s="8">
        <v>3.3583888739082197E-2</v>
      </c>
      <c r="G69" s="8">
        <v>0</v>
      </c>
      <c r="H69" s="8">
        <v>7.8740211621395398E-3</v>
      </c>
      <c r="I69" s="8">
        <v>2.4962355987093E-2</v>
      </c>
      <c r="J69" s="8">
        <v>0.28658766313544498</v>
      </c>
      <c r="K69" s="8">
        <v>0.16469841466502599</v>
      </c>
      <c r="L69" s="8">
        <v>3.8876422715385703E-2</v>
      </c>
      <c r="M69" s="8">
        <v>6.2472320034362297E-3</v>
      </c>
      <c r="N69" s="8">
        <v>2.7572583806540801E-3</v>
      </c>
      <c r="O69" s="8">
        <v>4.2028040485470701E-3</v>
      </c>
      <c r="P69" s="8">
        <v>5.3679115155426298E-3</v>
      </c>
      <c r="Q69" s="8">
        <v>8.5210321048727004E-3</v>
      </c>
      <c r="R69" s="8">
        <v>8.4214188067408095E-3</v>
      </c>
      <c r="S69" s="8">
        <v>1.7348901432181201E-3</v>
      </c>
      <c r="T69" s="8">
        <v>4.4240285646965699E-3</v>
      </c>
      <c r="U69" s="8">
        <v>3.7540117061461403E-2</v>
      </c>
      <c r="V69" s="8">
        <v>5.6921309836203303E-3</v>
      </c>
      <c r="W69" s="8">
        <v>3.4032556524914602E-3</v>
      </c>
      <c r="X69" s="8">
        <v>7.9044607078611995E-2</v>
      </c>
      <c r="Y69" s="8">
        <v>1.4169102128574E-2</v>
      </c>
      <c r="Z69" s="10">
        <v>8.1007425762811298E-3</v>
      </c>
    </row>
    <row r="70" spans="1:26" ht="28.65" customHeight="1" x14ac:dyDescent="0.3">
      <c r="A70" s="27">
        <f t="shared" si="1"/>
        <v>10</v>
      </c>
      <c r="B70" s="36">
        <v>8.2931223256183501E-5</v>
      </c>
      <c r="C70" s="8">
        <v>1.1338734185351966E-4</v>
      </c>
      <c r="D70" s="8">
        <v>2.1395078929349158E-3</v>
      </c>
      <c r="E70" s="8">
        <v>3.2095801531076241E-4</v>
      </c>
      <c r="F70" s="8">
        <v>2.0447932143037898E-4</v>
      </c>
      <c r="G70" s="8">
        <v>0</v>
      </c>
      <c r="H70" s="8">
        <v>8.0096032372252625E-5</v>
      </c>
      <c r="I70" s="8">
        <v>3.7266239868938688E-3</v>
      </c>
      <c r="J70" s="8">
        <v>3.1327705589715365E-4</v>
      </c>
      <c r="K70" s="8">
        <v>6.6279880896418116E-4</v>
      </c>
      <c r="L70" s="8">
        <v>8.2244690046733303E-5</v>
      </c>
      <c r="M70" s="8">
        <v>2.159882981853501E-3</v>
      </c>
      <c r="N70" s="8">
        <v>5.2880393946282448E-4</v>
      </c>
      <c r="O70" s="8">
        <v>3.1169991414088194E-4</v>
      </c>
      <c r="P70" s="8">
        <v>9.1162922956132715E-4</v>
      </c>
      <c r="Q70" s="8">
        <v>3.1928556063088287E-3</v>
      </c>
      <c r="R70" s="8">
        <v>8.1505432658909177E-4</v>
      </c>
      <c r="S70" s="8">
        <v>2.4326280134601957E-3</v>
      </c>
      <c r="T70" s="8">
        <v>7.2165927611538645E-4</v>
      </c>
      <c r="U70" s="8">
        <v>2.4671338575296052E-4</v>
      </c>
      <c r="V70" s="8">
        <v>7.6963468490428319E-4</v>
      </c>
      <c r="W70" s="8">
        <v>5.8402600023280418E-5</v>
      </c>
      <c r="X70" s="8">
        <v>3.5647922455724429E-5</v>
      </c>
      <c r="Y70" s="8">
        <v>1.415907069202607E-4</v>
      </c>
      <c r="Z70" s="10">
        <v>1.2073792442063937E-4</v>
      </c>
    </row>
    <row r="71" spans="1:26" x14ac:dyDescent="0.3">
      <c r="A71" s="27">
        <f t="shared" si="1"/>
        <v>11</v>
      </c>
      <c r="B71" s="36">
        <v>1.4484177093716501E-2</v>
      </c>
      <c r="C71" s="8">
        <v>2.5603862569102302E-2</v>
      </c>
      <c r="D71" s="8">
        <v>2.7720864708768202E-2</v>
      </c>
      <c r="E71" s="8">
        <v>6.2984282932331201E-2</v>
      </c>
      <c r="F71" s="8">
        <v>0.121995476180876</v>
      </c>
      <c r="G71" s="8">
        <v>0</v>
      </c>
      <c r="H71" s="8">
        <v>2.2884664348122599E-2</v>
      </c>
      <c r="I71" s="8">
        <v>1.6353183690639199E-2</v>
      </c>
      <c r="J71" s="8">
        <v>4.3304041925318199E-2</v>
      </c>
      <c r="K71" s="8">
        <v>4.2805069711458803E-2</v>
      </c>
      <c r="L71" s="8">
        <v>0.33491679370945199</v>
      </c>
      <c r="M71" s="8">
        <v>6.6553674485956102E-2</v>
      </c>
      <c r="N71" s="8">
        <v>2.8775742312845701E-2</v>
      </c>
      <c r="O71" s="8">
        <v>4.13700352637658E-2</v>
      </c>
      <c r="P71" s="8">
        <v>2.4184126210035201E-2</v>
      </c>
      <c r="Q71" s="8">
        <v>4.3423477728635099E-2</v>
      </c>
      <c r="R71" s="8">
        <v>2.1268709155750701E-2</v>
      </c>
      <c r="S71" s="8">
        <v>6.7082702050553396E-3</v>
      </c>
      <c r="T71" s="8">
        <v>1.38998602410568E-2</v>
      </c>
      <c r="U71" s="8">
        <v>2.1620419428628E-2</v>
      </c>
      <c r="V71" s="8">
        <v>3.64865184906734E-2</v>
      </c>
      <c r="W71" s="8">
        <v>1.7261211716239101E-2</v>
      </c>
      <c r="X71" s="8">
        <v>3.0634544876883101E-2</v>
      </c>
      <c r="Y71" s="8">
        <v>6.0127035812062302E-2</v>
      </c>
      <c r="Z71" s="10">
        <v>4.8210825376972098E-2</v>
      </c>
    </row>
    <row r="72" spans="1:26" x14ac:dyDescent="0.3">
      <c r="A72" s="27">
        <f t="shared" si="1"/>
        <v>12</v>
      </c>
      <c r="B72" s="36">
        <v>0</v>
      </c>
      <c r="C72" s="8">
        <v>0</v>
      </c>
      <c r="D72" s="8">
        <v>0</v>
      </c>
      <c r="E72" s="8">
        <v>0</v>
      </c>
      <c r="F72" s="8">
        <v>0</v>
      </c>
      <c r="G72" s="8">
        <v>0</v>
      </c>
      <c r="H72" s="8">
        <v>0</v>
      </c>
      <c r="I72" s="8">
        <v>0</v>
      </c>
      <c r="J72" s="8">
        <v>0</v>
      </c>
      <c r="K72" s="8">
        <v>0</v>
      </c>
      <c r="L72" s="8">
        <v>0</v>
      </c>
      <c r="M72" s="8">
        <v>0</v>
      </c>
      <c r="N72" s="8">
        <v>0</v>
      </c>
      <c r="O72" s="8">
        <v>0</v>
      </c>
      <c r="P72" s="8">
        <v>0</v>
      </c>
      <c r="Q72" s="8">
        <v>0</v>
      </c>
      <c r="R72" s="8">
        <v>0</v>
      </c>
      <c r="S72" s="8">
        <v>0</v>
      </c>
      <c r="T72" s="8">
        <v>0</v>
      </c>
      <c r="U72" s="8">
        <v>0</v>
      </c>
      <c r="V72" s="8">
        <v>0</v>
      </c>
      <c r="W72" s="8">
        <v>0</v>
      </c>
      <c r="X72" s="8">
        <v>0</v>
      </c>
      <c r="Y72" s="8">
        <v>0</v>
      </c>
      <c r="Z72" s="10">
        <v>0</v>
      </c>
    </row>
    <row r="73" spans="1:26" x14ac:dyDescent="0.3">
      <c r="A73" s="27">
        <f t="shared" si="1"/>
        <v>13</v>
      </c>
      <c r="B73" s="36">
        <v>0</v>
      </c>
      <c r="C73" s="8">
        <v>0</v>
      </c>
      <c r="D73" s="8">
        <v>0</v>
      </c>
      <c r="E73" s="8">
        <v>0</v>
      </c>
      <c r="F73" s="8">
        <v>0</v>
      </c>
      <c r="G73" s="8">
        <v>0</v>
      </c>
      <c r="H73" s="8">
        <v>0</v>
      </c>
      <c r="I73" s="8">
        <v>0</v>
      </c>
      <c r="J73" s="8">
        <v>0</v>
      </c>
      <c r="K73" s="8">
        <v>0</v>
      </c>
      <c r="L73" s="8">
        <v>0</v>
      </c>
      <c r="M73" s="8">
        <v>0</v>
      </c>
      <c r="N73" s="8">
        <v>0</v>
      </c>
      <c r="O73" s="8">
        <v>0</v>
      </c>
      <c r="P73" s="8">
        <v>0</v>
      </c>
      <c r="Q73" s="8">
        <v>0</v>
      </c>
      <c r="R73" s="8">
        <v>0</v>
      </c>
      <c r="S73" s="8">
        <v>0</v>
      </c>
      <c r="T73" s="8">
        <v>0</v>
      </c>
      <c r="U73" s="8">
        <v>0</v>
      </c>
      <c r="V73" s="8">
        <v>0</v>
      </c>
      <c r="W73" s="8">
        <v>0</v>
      </c>
      <c r="X73" s="8">
        <v>0</v>
      </c>
      <c r="Y73" s="8">
        <v>0</v>
      </c>
      <c r="Z73" s="10">
        <v>0</v>
      </c>
    </row>
    <row r="74" spans="1:26" ht="28.65" customHeight="1" x14ac:dyDescent="0.3">
      <c r="A74" s="27">
        <f t="shared" si="1"/>
        <v>14</v>
      </c>
      <c r="B74" s="36">
        <v>2.4726039536490884E-3</v>
      </c>
      <c r="C74" s="8">
        <v>2.9278945230095761E-3</v>
      </c>
      <c r="D74" s="8">
        <v>3.324385887007317E-3</v>
      </c>
      <c r="E74" s="8">
        <v>1.1413775567869905E-2</v>
      </c>
      <c r="F74" s="8">
        <v>2.2702104887203792E-3</v>
      </c>
      <c r="G74" s="8">
        <v>0</v>
      </c>
      <c r="H74" s="8">
        <v>1.9963363398527276E-3</v>
      </c>
      <c r="I74" s="8">
        <v>3.1629351691955421E-3</v>
      </c>
      <c r="J74" s="8">
        <v>2.9565013134060171E-3</v>
      </c>
      <c r="K74" s="8">
        <v>5.254522356538188E-3</v>
      </c>
      <c r="L74" s="8">
        <v>2.3368702755583188E-3</v>
      </c>
      <c r="M74" s="8">
        <v>3.3925424456833541E-3</v>
      </c>
      <c r="N74" s="8">
        <v>5.6622709412912191E-3</v>
      </c>
      <c r="O74" s="8">
        <v>2.9084388425531518E-4</v>
      </c>
      <c r="P74" s="8">
        <v>3.7828501456504656E-4</v>
      </c>
      <c r="Q74" s="8">
        <v>5.7448850547557467E-3</v>
      </c>
      <c r="R74" s="8">
        <v>2.0008310159569534E-3</v>
      </c>
      <c r="S74" s="8">
        <v>2.0606050309669599E-4</v>
      </c>
      <c r="T74" s="8">
        <v>1.6358633915037645E-3</v>
      </c>
      <c r="U74" s="8">
        <v>1.1560102313108618E-3</v>
      </c>
      <c r="V74" s="8">
        <v>1.0371819382089234E-3</v>
      </c>
      <c r="W74" s="8">
        <v>1.5726404523367624E-3</v>
      </c>
      <c r="X74" s="8">
        <v>1.2372320045501662E-3</v>
      </c>
      <c r="Y74" s="8">
        <v>3.3895446641825605E-3</v>
      </c>
      <c r="Z74" s="10">
        <v>1.6581839037550239E-3</v>
      </c>
    </row>
    <row r="75" spans="1:26" x14ac:dyDescent="0.3">
      <c r="A75" s="27">
        <f t="shared" si="1"/>
        <v>15</v>
      </c>
      <c r="B75" s="36">
        <v>1.176336644649968E-3</v>
      </c>
      <c r="C75" s="8">
        <v>1.4882372067469209E-3</v>
      </c>
      <c r="D75" s="8">
        <v>2.0174954188955086E-2</v>
      </c>
      <c r="E75" s="8">
        <v>4.6025221158505613E-3</v>
      </c>
      <c r="F75" s="8">
        <v>2.2539098701651293E-3</v>
      </c>
      <c r="G75" s="8">
        <v>0</v>
      </c>
      <c r="H75" s="8">
        <v>1.0135154123424083E-3</v>
      </c>
      <c r="I75" s="8">
        <v>3.5129944335786221E-2</v>
      </c>
      <c r="J75" s="8">
        <v>2.7480893516111009E-3</v>
      </c>
      <c r="K75" s="8">
        <v>6.4934883632937271E-3</v>
      </c>
      <c r="L75" s="8">
        <v>1.1647488611189905E-3</v>
      </c>
      <c r="M75" s="8">
        <v>1.7817095898616301E-2</v>
      </c>
      <c r="N75" s="8">
        <v>4.2270377591203867E-3</v>
      </c>
      <c r="O75" s="8">
        <v>2.0208669044734025E-3</v>
      </c>
      <c r="P75" s="8">
        <v>4.8238266280323881E-3</v>
      </c>
      <c r="Q75" s="8">
        <v>1.7286688732266509E-2</v>
      </c>
      <c r="R75" s="8">
        <v>4.685845146183764E-3</v>
      </c>
      <c r="S75" s="8">
        <v>2.2704221317175043E-2</v>
      </c>
      <c r="T75" s="8">
        <v>6.8315595037867034E-3</v>
      </c>
      <c r="U75" s="8">
        <v>2.0123263496160965E-3</v>
      </c>
      <c r="V75" s="8">
        <v>6.5371906670957207E-3</v>
      </c>
      <c r="W75" s="8">
        <v>7.8912610644322264E-4</v>
      </c>
      <c r="X75" s="8">
        <v>5.2707757841295982E-4</v>
      </c>
      <c r="Y75" s="8">
        <v>1.6621210714510861E-3</v>
      </c>
      <c r="Z75" s="10">
        <v>1.2514067107972748E-3</v>
      </c>
    </row>
    <row r="76" spans="1:26" x14ac:dyDescent="0.3">
      <c r="A76" s="27">
        <f t="shared" si="1"/>
        <v>16</v>
      </c>
      <c r="B76" s="36">
        <v>0</v>
      </c>
      <c r="C76" s="8">
        <v>0</v>
      </c>
      <c r="D76" s="8">
        <v>0</v>
      </c>
      <c r="E76" s="8">
        <v>0</v>
      </c>
      <c r="F76" s="8">
        <v>0</v>
      </c>
      <c r="G76" s="8">
        <v>0</v>
      </c>
      <c r="H76" s="8">
        <v>0</v>
      </c>
      <c r="I76" s="8">
        <v>0</v>
      </c>
      <c r="J76" s="8">
        <v>0</v>
      </c>
      <c r="K76" s="8">
        <v>0</v>
      </c>
      <c r="L76" s="8">
        <v>0</v>
      </c>
      <c r="M76" s="8">
        <v>0</v>
      </c>
      <c r="N76" s="8">
        <v>0</v>
      </c>
      <c r="O76" s="8">
        <v>0</v>
      </c>
      <c r="P76" s="8">
        <v>0</v>
      </c>
      <c r="Q76" s="8">
        <v>0</v>
      </c>
      <c r="R76" s="8">
        <v>0</v>
      </c>
      <c r="S76" s="8">
        <v>0</v>
      </c>
      <c r="T76" s="8">
        <v>0</v>
      </c>
      <c r="U76" s="8">
        <v>0</v>
      </c>
      <c r="V76" s="8">
        <v>0</v>
      </c>
      <c r="W76" s="8">
        <v>0</v>
      </c>
      <c r="X76" s="8">
        <v>0</v>
      </c>
      <c r="Y76" s="8">
        <v>0</v>
      </c>
      <c r="Z76" s="10">
        <v>0</v>
      </c>
    </row>
    <row r="77" spans="1:26" x14ac:dyDescent="0.3">
      <c r="A77" s="27">
        <f t="shared" si="1"/>
        <v>17</v>
      </c>
      <c r="B77" s="36">
        <v>2.466694802947575E-4</v>
      </c>
      <c r="C77" s="8">
        <v>3.1606145674494473E-4</v>
      </c>
      <c r="D77" s="8">
        <v>4.2700816584671283E-3</v>
      </c>
      <c r="E77" s="8">
        <v>9.7152911764728043E-4</v>
      </c>
      <c r="F77" s="8">
        <v>4.7380161455754752E-4</v>
      </c>
      <c r="G77" s="8">
        <v>0</v>
      </c>
      <c r="H77" s="8">
        <v>2.1042209092873583E-4</v>
      </c>
      <c r="I77" s="8">
        <v>7.4366443547569357E-3</v>
      </c>
      <c r="J77" s="8">
        <v>6.1575047962010153E-4</v>
      </c>
      <c r="K77" s="8">
        <v>1.383598042583733E-3</v>
      </c>
      <c r="L77" s="8">
        <v>2.474273918382894E-4</v>
      </c>
      <c r="M77" s="8">
        <v>3.7758809030912716E-3</v>
      </c>
      <c r="N77" s="8">
        <v>9.121618613461721E-4</v>
      </c>
      <c r="O77" s="8">
        <v>4.2994099959857245E-4</v>
      </c>
      <c r="P77" s="8">
        <v>1.0216526496425002E-3</v>
      </c>
      <c r="Q77" s="8">
        <v>3.6769167585232682E-3</v>
      </c>
      <c r="R77" s="8">
        <v>1.0011802959369852E-3</v>
      </c>
      <c r="S77" s="8">
        <v>4.806683701759489E-3</v>
      </c>
      <c r="T77" s="8">
        <v>1.4453166221136493E-3</v>
      </c>
      <c r="U77" s="8">
        <v>4.30089767688419E-4</v>
      </c>
      <c r="V77" s="8">
        <v>1.3849254965036576E-3</v>
      </c>
      <c r="W77" s="8">
        <v>1.8202903598323069E-4</v>
      </c>
      <c r="X77" s="8">
        <v>1.1492932232875038E-4</v>
      </c>
      <c r="Y77" s="8">
        <v>3.6215623156632745E-4</v>
      </c>
      <c r="Z77" s="10">
        <v>2.8618718213761801E-4</v>
      </c>
    </row>
    <row r="78" spans="1:26" ht="28.65" customHeight="1" x14ac:dyDescent="0.3">
      <c r="A78" s="27">
        <f t="shared" si="1"/>
        <v>18</v>
      </c>
      <c r="B78" s="36">
        <v>0</v>
      </c>
      <c r="C78" s="8">
        <v>0</v>
      </c>
      <c r="D78" s="8">
        <v>0</v>
      </c>
      <c r="E78" s="8">
        <v>0</v>
      </c>
      <c r="F78" s="8">
        <v>0</v>
      </c>
      <c r="G78" s="8">
        <v>0</v>
      </c>
      <c r="H78" s="8">
        <v>0</v>
      </c>
      <c r="I78" s="8">
        <v>0</v>
      </c>
      <c r="J78" s="8">
        <v>0</v>
      </c>
      <c r="K78" s="8">
        <v>0</v>
      </c>
      <c r="L78" s="8">
        <v>0</v>
      </c>
      <c r="M78" s="8">
        <v>0</v>
      </c>
      <c r="N78" s="8">
        <v>0</v>
      </c>
      <c r="O78" s="8">
        <v>0</v>
      </c>
      <c r="P78" s="8">
        <v>0</v>
      </c>
      <c r="Q78" s="8">
        <v>0</v>
      </c>
      <c r="R78" s="8">
        <v>0</v>
      </c>
      <c r="S78" s="8">
        <v>0</v>
      </c>
      <c r="T78" s="8">
        <v>0</v>
      </c>
      <c r="U78" s="8">
        <v>0</v>
      </c>
      <c r="V78" s="8">
        <v>0</v>
      </c>
      <c r="W78" s="8">
        <v>0</v>
      </c>
      <c r="X78" s="8">
        <v>0</v>
      </c>
      <c r="Y78" s="8">
        <v>0</v>
      </c>
      <c r="Z78" s="10">
        <v>0</v>
      </c>
    </row>
    <row r="79" spans="1:26" x14ac:dyDescent="0.3">
      <c r="A79" s="27">
        <f t="shared" si="1"/>
        <v>19</v>
      </c>
      <c r="B79" s="36">
        <v>0</v>
      </c>
      <c r="C79" s="8">
        <v>0</v>
      </c>
      <c r="D79" s="8">
        <v>0</v>
      </c>
      <c r="E79" s="8">
        <v>0</v>
      </c>
      <c r="F79" s="8">
        <v>0</v>
      </c>
      <c r="G79" s="8">
        <v>0</v>
      </c>
      <c r="H79" s="8">
        <v>0</v>
      </c>
      <c r="I79" s="8">
        <v>0</v>
      </c>
      <c r="J79" s="8">
        <v>0</v>
      </c>
      <c r="K79" s="8">
        <v>0</v>
      </c>
      <c r="L79" s="8">
        <v>0</v>
      </c>
      <c r="M79" s="8">
        <v>0</v>
      </c>
      <c r="N79" s="8">
        <v>0</v>
      </c>
      <c r="O79" s="8">
        <v>0</v>
      </c>
      <c r="P79" s="8">
        <v>0</v>
      </c>
      <c r="Q79" s="8">
        <v>0</v>
      </c>
      <c r="R79" s="8">
        <v>0</v>
      </c>
      <c r="S79" s="8">
        <v>0</v>
      </c>
      <c r="T79" s="8">
        <v>0</v>
      </c>
      <c r="U79" s="8">
        <v>0</v>
      </c>
      <c r="V79" s="8">
        <v>0</v>
      </c>
      <c r="W79" s="8">
        <v>0</v>
      </c>
      <c r="X79" s="8">
        <v>0</v>
      </c>
      <c r="Y79" s="8">
        <v>0</v>
      </c>
      <c r="Z79" s="10">
        <v>0</v>
      </c>
    </row>
    <row r="80" spans="1:26" ht="28.65" customHeight="1" x14ac:dyDescent="0.3">
      <c r="A80" s="27">
        <f t="shared" si="1"/>
        <v>20</v>
      </c>
      <c r="B80" s="36">
        <v>0</v>
      </c>
      <c r="C80" s="8">
        <v>0</v>
      </c>
      <c r="D80" s="8">
        <v>0</v>
      </c>
      <c r="E80" s="8">
        <v>0</v>
      </c>
      <c r="F80" s="8">
        <v>0</v>
      </c>
      <c r="G80" s="8">
        <v>0</v>
      </c>
      <c r="H80" s="8">
        <v>0</v>
      </c>
      <c r="I80" s="8">
        <v>0</v>
      </c>
      <c r="J80" s="8">
        <v>0</v>
      </c>
      <c r="K80" s="8">
        <v>0</v>
      </c>
      <c r="L80" s="8">
        <v>0</v>
      </c>
      <c r="M80" s="8">
        <v>0</v>
      </c>
      <c r="N80" s="8">
        <v>0</v>
      </c>
      <c r="O80" s="8">
        <v>0</v>
      </c>
      <c r="P80" s="8">
        <v>0</v>
      </c>
      <c r="Q80" s="8">
        <v>0</v>
      </c>
      <c r="R80" s="8">
        <v>0</v>
      </c>
      <c r="S80" s="8">
        <v>0</v>
      </c>
      <c r="T80" s="8">
        <v>0</v>
      </c>
      <c r="U80" s="8">
        <v>0</v>
      </c>
      <c r="V80" s="8">
        <v>0</v>
      </c>
      <c r="W80" s="8">
        <v>0</v>
      </c>
      <c r="X80" s="8">
        <v>0</v>
      </c>
      <c r="Y80" s="8">
        <v>0</v>
      </c>
      <c r="Z80" s="10">
        <v>0</v>
      </c>
    </row>
    <row r="81" spans="1:26" x14ac:dyDescent="0.3">
      <c r="A81" s="27">
        <f t="shared" si="1"/>
        <v>21</v>
      </c>
      <c r="B81" s="36">
        <v>2.22091646926935E-2</v>
      </c>
      <c r="C81" s="8">
        <v>1.9141422326554299E-2</v>
      </c>
      <c r="D81" s="8">
        <v>2.0247649677415901E-2</v>
      </c>
      <c r="E81" s="8">
        <v>4.6872132726848002E-2</v>
      </c>
      <c r="F81" s="8">
        <v>2.9922517160498499E-2</v>
      </c>
      <c r="G81" s="8">
        <v>0</v>
      </c>
      <c r="H81" s="8">
        <v>2.03378861984044E-2</v>
      </c>
      <c r="I81" s="8">
        <v>1.42286015326123E-2</v>
      </c>
      <c r="J81" s="8">
        <v>1.52895197882425E-2</v>
      </c>
      <c r="K81" s="8">
        <v>3.1988800569947601E-2</v>
      </c>
      <c r="L81" s="8">
        <v>1.6782679150205801E-2</v>
      </c>
      <c r="M81" s="8">
        <v>2.8496385389400199E-2</v>
      </c>
      <c r="N81" s="8">
        <v>1.21743853468408E-2</v>
      </c>
      <c r="O81" s="8">
        <v>1.1860851130276E-2</v>
      </c>
      <c r="P81" s="8">
        <v>2.4799956058600098E-2</v>
      </c>
      <c r="Q81" s="8">
        <v>3.9300428998772403E-2</v>
      </c>
      <c r="R81" s="8">
        <v>2.5392930060305099E-2</v>
      </c>
      <c r="S81" s="8">
        <v>3.6822023518479997E-2</v>
      </c>
      <c r="T81" s="8">
        <v>4.6184851090420302E-2</v>
      </c>
      <c r="U81" s="8">
        <v>5.5577535786091203E-2</v>
      </c>
      <c r="V81" s="8">
        <v>7.6365619622057304E-2</v>
      </c>
      <c r="W81" s="8">
        <v>1.8150182660851E-2</v>
      </c>
      <c r="X81" s="8">
        <v>1.2231703456507001E-2</v>
      </c>
      <c r="Y81" s="8">
        <v>3.0095372305840001E-2</v>
      </c>
      <c r="Z81" s="10">
        <v>3.9467346018847597E-2</v>
      </c>
    </row>
    <row r="82" spans="1:26" x14ac:dyDescent="0.3">
      <c r="A82" s="27">
        <f t="shared" si="1"/>
        <v>22</v>
      </c>
      <c r="B82" s="36">
        <v>2.6363103310189E-4</v>
      </c>
      <c r="C82" s="8">
        <v>2.4065256568668101E-4</v>
      </c>
      <c r="D82" s="8">
        <v>2.4599557233919399E-4</v>
      </c>
      <c r="E82" s="8">
        <v>3.6961142917617002E-4</v>
      </c>
      <c r="F82" s="8">
        <v>2.6220324911981698E-4</v>
      </c>
      <c r="G82" s="8">
        <v>0</v>
      </c>
      <c r="H82" s="8">
        <v>1.84981306083288E-3</v>
      </c>
      <c r="I82" s="8">
        <v>1.9724403029211301E-4</v>
      </c>
      <c r="J82" s="8">
        <v>3.5476681661118699E-4</v>
      </c>
      <c r="K82" s="8">
        <v>6.9350940220937901E-4</v>
      </c>
      <c r="L82" s="8">
        <v>3.4382595911888302E-4</v>
      </c>
      <c r="M82" s="8">
        <v>6.66443755289816E-4</v>
      </c>
      <c r="N82" s="8">
        <v>1.28460364146273E-3</v>
      </c>
      <c r="O82" s="8">
        <v>5.5933385255008399E-4</v>
      </c>
      <c r="P82" s="8">
        <v>1.4619036268246799E-3</v>
      </c>
      <c r="Q82" s="8">
        <v>1.0173245740296101E-3</v>
      </c>
      <c r="R82" s="8">
        <v>8.2127116296431104E-4</v>
      </c>
      <c r="S82" s="8">
        <v>1.940454955051E-3</v>
      </c>
      <c r="T82" s="8">
        <v>2.6109426775632402E-4</v>
      </c>
      <c r="U82" s="8">
        <v>1.90919636417208E-3</v>
      </c>
      <c r="V82" s="8">
        <v>6.6912662550045496E-4</v>
      </c>
      <c r="W82" s="8">
        <v>1.1921982684464399E-2</v>
      </c>
      <c r="X82" s="8">
        <v>1.4135707015807001E-3</v>
      </c>
      <c r="Y82" s="8">
        <v>1.96209790268004E-3</v>
      </c>
      <c r="Z82" s="10">
        <v>1.57616838691568E-3</v>
      </c>
    </row>
    <row r="83" spans="1:26" x14ac:dyDescent="0.3">
      <c r="A83" s="27">
        <f t="shared" si="1"/>
        <v>23</v>
      </c>
      <c r="B83" s="36">
        <v>2.7529415521472398E-4</v>
      </c>
      <c r="C83" s="8">
        <v>2.04415359774232E-4</v>
      </c>
      <c r="D83" s="8">
        <v>1.5879554792403499E-4</v>
      </c>
      <c r="E83" s="8">
        <v>4.4035335320892998E-4</v>
      </c>
      <c r="F83" s="8">
        <v>4.0263152232367002E-4</v>
      </c>
      <c r="G83" s="8">
        <v>0</v>
      </c>
      <c r="H83" s="8">
        <v>2.0731388649350901E-3</v>
      </c>
      <c r="I83" s="8">
        <v>2.0242080825696399E-4</v>
      </c>
      <c r="J83" s="8">
        <v>2.99370094272636E-4</v>
      </c>
      <c r="K83" s="8">
        <v>8.09253413078774E-4</v>
      </c>
      <c r="L83" s="8">
        <v>6.9676251086159995E-4</v>
      </c>
      <c r="M83" s="8">
        <v>5.3793287204814905E-4</v>
      </c>
      <c r="N83" s="8">
        <v>3.3677362055066501E-4</v>
      </c>
      <c r="O83" s="8">
        <v>8.8424532245259097E-4</v>
      </c>
      <c r="P83" s="8">
        <v>4.3302384103292499E-4</v>
      </c>
      <c r="Q83" s="8">
        <v>3.28729824259229E-4</v>
      </c>
      <c r="R83" s="8">
        <v>3.6633293743371001E-4</v>
      </c>
      <c r="S83" s="8">
        <v>4.7077392619808298E-4</v>
      </c>
      <c r="T83" s="8">
        <v>3.4873697412372303E-4</v>
      </c>
      <c r="U83" s="8">
        <v>3.0925258397174302E-4</v>
      </c>
      <c r="V83" s="8">
        <v>2.0499641697104099E-4</v>
      </c>
      <c r="W83" s="8">
        <v>1.25664417123887E-3</v>
      </c>
      <c r="X83" s="8">
        <v>2.1711104597175901E-2</v>
      </c>
      <c r="Y83" s="8">
        <v>3.44567312978768E-3</v>
      </c>
      <c r="Z83" s="10">
        <v>2.5682704112420401E-3</v>
      </c>
    </row>
    <row r="84" spans="1:26" x14ac:dyDescent="0.3">
      <c r="A84" s="27">
        <f t="shared" si="1"/>
        <v>24</v>
      </c>
      <c r="B84" s="36">
        <v>1.02081087847596E-2</v>
      </c>
      <c r="C84" s="8">
        <v>4.2158240414676001E-3</v>
      </c>
      <c r="D84" s="8">
        <v>5.4739623713019698E-3</v>
      </c>
      <c r="E84" s="8">
        <v>3.2015688407412602E-3</v>
      </c>
      <c r="F84" s="8">
        <v>2.8375218547417899E-3</v>
      </c>
      <c r="G84" s="8">
        <v>0</v>
      </c>
      <c r="H84" s="8">
        <v>3.7740150915993799E-3</v>
      </c>
      <c r="I84" s="8">
        <v>1.2526283276512E-3</v>
      </c>
      <c r="J84" s="8">
        <v>3.4312712389129901E-3</v>
      </c>
      <c r="K84" s="8">
        <v>2.37938816742781E-3</v>
      </c>
      <c r="L84" s="8">
        <v>1.4069762012374201E-3</v>
      </c>
      <c r="M84" s="8">
        <v>1.49995270565634E-2</v>
      </c>
      <c r="N84" s="8">
        <v>1.5951830419587001E-2</v>
      </c>
      <c r="O84" s="8">
        <v>2.9010208385224601E-2</v>
      </c>
      <c r="P84" s="8">
        <v>3.74767379819606E-3</v>
      </c>
      <c r="Q84" s="8">
        <v>1.7567815282623502E-2</v>
      </c>
      <c r="R84" s="8">
        <v>3.4811933522660402E-3</v>
      </c>
      <c r="S84" s="8">
        <v>6.5371255212567795E-4</v>
      </c>
      <c r="T84" s="8">
        <v>8.8033648607272895E-4</v>
      </c>
      <c r="U84" s="8">
        <v>2.3194502879786902E-3</v>
      </c>
      <c r="V84" s="8">
        <v>3.8051803508505101E-3</v>
      </c>
      <c r="W84" s="8">
        <v>3.7731039005323001E-3</v>
      </c>
      <c r="X84" s="8">
        <v>3.9170567389686496E-3</v>
      </c>
      <c r="Y84" s="8">
        <v>4.6316261225656297E-2</v>
      </c>
      <c r="Z84" s="10">
        <v>7.2473286377713206E-2</v>
      </c>
    </row>
    <row r="85" spans="1:26" ht="15" thickBot="1" x14ac:dyDescent="0.35">
      <c r="A85" s="27">
        <f t="shared" si="1"/>
        <v>25</v>
      </c>
      <c r="B85" s="37">
        <v>3.64320599992857E-4</v>
      </c>
      <c r="C85" s="38">
        <v>2.3575402106929601E-4</v>
      </c>
      <c r="D85" s="38">
        <v>4.97619397954724E-4</v>
      </c>
      <c r="E85" s="38">
        <v>3.1909637873511098E-4</v>
      </c>
      <c r="F85" s="38">
        <v>4.65807631627812E-4</v>
      </c>
      <c r="G85" s="38">
        <v>0</v>
      </c>
      <c r="H85" s="38">
        <v>5.62812447588724E-4</v>
      </c>
      <c r="I85" s="38">
        <v>3.58582726728274E-4</v>
      </c>
      <c r="J85" s="38">
        <v>7.5142131333864903E-4</v>
      </c>
      <c r="K85" s="38">
        <v>6.4544944623498503E-4</v>
      </c>
      <c r="L85" s="38">
        <v>1.76107114657633E-4</v>
      </c>
      <c r="M85" s="38">
        <v>2.1567165035020499E-4</v>
      </c>
      <c r="N85" s="38">
        <v>4.7267970452912497E-4</v>
      </c>
      <c r="O85" s="38">
        <v>6.0856102487955E-4</v>
      </c>
      <c r="P85" s="38">
        <v>2.8157830766378301E-4</v>
      </c>
      <c r="Q85" s="38">
        <v>4.4962768271646402E-3</v>
      </c>
      <c r="R85" s="38">
        <v>5.6958205677985698E-4</v>
      </c>
      <c r="S85" s="38">
        <v>1.9477810408181199E-4</v>
      </c>
      <c r="T85" s="38">
        <v>1.4593615614314601E-4</v>
      </c>
      <c r="U85" s="38">
        <v>1.3636385273401699E-4</v>
      </c>
      <c r="V85" s="38">
        <v>3.6596595781180198E-4</v>
      </c>
      <c r="W85" s="38">
        <v>2.00533950700308E-4</v>
      </c>
      <c r="X85" s="38">
        <v>5.8566946999952197E-4</v>
      </c>
      <c r="Y85" s="38">
        <v>8.0550439330272401E-3</v>
      </c>
      <c r="Z85" s="39">
        <v>2.90726182216101E-2</v>
      </c>
    </row>
    <row r="87" spans="1:26" ht="15" thickBot="1" x14ac:dyDescent="0.35">
      <c r="A87" s="41" t="s">
        <v>89</v>
      </c>
    </row>
    <row r="88" spans="1:26" ht="15" thickBot="1" x14ac:dyDescent="0.35">
      <c r="A88" s="31" t="s">
        <v>0</v>
      </c>
      <c r="B88" s="55">
        <v>1</v>
      </c>
      <c r="C88" s="67">
        <f>B88+1</f>
        <v>2</v>
      </c>
      <c r="D88" s="67">
        <f t="shared" ref="D88" si="2">C88+1</f>
        <v>3</v>
      </c>
      <c r="E88" s="67">
        <f t="shared" ref="E88" si="3">D88+1</f>
        <v>4</v>
      </c>
      <c r="F88" s="67">
        <f t="shared" ref="F88" si="4">E88+1</f>
        <v>5</v>
      </c>
      <c r="G88" s="67">
        <f t="shared" ref="G88" si="5">F88+1</f>
        <v>6</v>
      </c>
      <c r="H88" s="67">
        <f t="shared" ref="H88" si="6">G88+1</f>
        <v>7</v>
      </c>
      <c r="I88" s="67">
        <f t="shared" ref="I88" si="7">H88+1</f>
        <v>8</v>
      </c>
      <c r="J88" s="67">
        <f t="shared" ref="J88" si="8">I88+1</f>
        <v>9</v>
      </c>
      <c r="K88" s="67">
        <f t="shared" ref="K88" si="9">J88+1</f>
        <v>10</v>
      </c>
      <c r="L88" s="67">
        <f t="shared" ref="L88" si="10">K88+1</f>
        <v>11</v>
      </c>
      <c r="M88" s="67">
        <f t="shared" ref="M88" si="11">L88+1</f>
        <v>12</v>
      </c>
      <c r="N88" s="67">
        <f t="shared" ref="N88" si="12">M88+1</f>
        <v>13</v>
      </c>
      <c r="O88" s="67">
        <f t="shared" ref="O88" si="13">N88+1</f>
        <v>14</v>
      </c>
      <c r="P88" s="67">
        <f t="shared" ref="P88" si="14">O88+1</f>
        <v>15</v>
      </c>
      <c r="Q88" s="67">
        <f t="shared" ref="Q88" si="15">P88+1</f>
        <v>16</v>
      </c>
      <c r="R88" s="67">
        <f t="shared" ref="R88" si="16">Q88+1</f>
        <v>17</v>
      </c>
      <c r="S88" s="67">
        <f t="shared" ref="S88" si="17">R88+1</f>
        <v>18</v>
      </c>
      <c r="T88" s="67">
        <f t="shared" ref="T88" si="18">S88+1</f>
        <v>19</v>
      </c>
      <c r="U88" s="67">
        <f t="shared" ref="U88" si="19">T88+1</f>
        <v>20</v>
      </c>
      <c r="V88" s="67">
        <f t="shared" ref="V88" si="20">U88+1</f>
        <v>21</v>
      </c>
      <c r="W88" s="67">
        <f t="shared" ref="W88" si="21">V88+1</f>
        <v>22</v>
      </c>
      <c r="X88" s="67">
        <f t="shared" ref="X88" si="22">W88+1</f>
        <v>23</v>
      </c>
      <c r="Y88" s="67">
        <f t="shared" ref="Y88" si="23">X88+1</f>
        <v>24</v>
      </c>
      <c r="Z88" s="130">
        <f t="shared" ref="Z88" si="24">Y88+1</f>
        <v>25</v>
      </c>
    </row>
    <row r="89" spans="1:26" x14ac:dyDescent="0.3">
      <c r="A89" s="32">
        <f>1</f>
        <v>1</v>
      </c>
      <c r="B89" s="33">
        <v>0.366764437067015</v>
      </c>
      <c r="C89" s="34">
        <v>5.6936153557802599E-2</v>
      </c>
      <c r="D89" s="34">
        <v>3.4429440165578101E-3</v>
      </c>
      <c r="E89" s="34">
        <v>1.0136938011790201E-2</v>
      </c>
      <c r="F89" s="34">
        <v>1.5461892123009224E-3</v>
      </c>
      <c r="G89" s="34">
        <v>0</v>
      </c>
      <c r="H89" s="34">
        <v>4.2937836598180004E-3</v>
      </c>
      <c r="I89" s="34">
        <v>5.0141643913594099E-3</v>
      </c>
      <c r="J89" s="34">
        <v>3.78155857829022E-2</v>
      </c>
      <c r="K89" s="34">
        <v>3.5500921793597498E-2</v>
      </c>
      <c r="L89" s="34">
        <v>8.4845636425319253E-4</v>
      </c>
      <c r="M89" s="34">
        <v>5.38787293918256E-3</v>
      </c>
      <c r="N89" s="34">
        <v>2.7798432323902201E-3</v>
      </c>
      <c r="O89" s="34">
        <v>5.0381707423904397E-3</v>
      </c>
      <c r="P89" s="34">
        <v>1.433003571615E-2</v>
      </c>
      <c r="Q89" s="34">
        <v>1.80520831719681E-2</v>
      </c>
      <c r="R89" s="34">
        <v>1.2001255766510699E-2</v>
      </c>
      <c r="S89" s="34">
        <v>5.6387895162083701E-4</v>
      </c>
      <c r="T89" s="34">
        <v>4.17798119185452E-3</v>
      </c>
      <c r="U89" s="34">
        <v>1.93280779894325E-3</v>
      </c>
      <c r="V89" s="34">
        <v>2.4002347680953801E-3</v>
      </c>
      <c r="W89" s="34">
        <v>6.8781522715970602E-3</v>
      </c>
      <c r="X89" s="34">
        <v>1.8393202038955399E-2</v>
      </c>
      <c r="Y89" s="34">
        <v>8.3612088645359101E-3</v>
      </c>
      <c r="Z89" s="35">
        <v>5.6125556400721203E-3</v>
      </c>
    </row>
    <row r="90" spans="1:26" ht="28.65" customHeight="1" x14ac:dyDescent="0.3">
      <c r="A90" s="27">
        <f>A89+1</f>
        <v>2</v>
      </c>
      <c r="B90" s="36">
        <v>5.2366071212709498E-3</v>
      </c>
      <c r="C90" s="8">
        <v>0.16266745799482049</v>
      </c>
      <c r="D90" s="8">
        <v>5.6371002838715995E-4</v>
      </c>
      <c r="E90" s="8">
        <v>1.8214265253602251E-3</v>
      </c>
      <c r="F90" s="8">
        <v>2.9770755527507749E-3</v>
      </c>
      <c r="G90" s="8">
        <v>0</v>
      </c>
      <c r="H90" s="8">
        <v>1.71136472011426E-3</v>
      </c>
      <c r="I90" s="8">
        <v>4.0140840398723398E-4</v>
      </c>
      <c r="J90" s="8">
        <v>1.456467045851805E-2</v>
      </c>
      <c r="K90" s="8">
        <v>5.4913556804034001E-3</v>
      </c>
      <c r="L90" s="8">
        <v>2.7962724972685248E-3</v>
      </c>
      <c r="M90" s="8">
        <v>1.3658875126193999E-3</v>
      </c>
      <c r="N90" s="8">
        <v>6.4129873913476999E-4</v>
      </c>
      <c r="O90" s="8">
        <v>2.1886599228831999E-3</v>
      </c>
      <c r="P90" s="8">
        <v>8.5839340942544E-4</v>
      </c>
      <c r="Q90" s="8">
        <v>4.5141004994386953E-3</v>
      </c>
      <c r="R90" s="8">
        <v>3.8334497368647949E-3</v>
      </c>
      <c r="S90" s="8">
        <v>2.4649063989680799E-4</v>
      </c>
      <c r="T90" s="8">
        <v>1.26495896868718E-3</v>
      </c>
      <c r="U90" s="8">
        <v>9.7337041307698005E-4</v>
      </c>
      <c r="V90" s="8">
        <v>7.7868709442180254E-4</v>
      </c>
      <c r="W90" s="8">
        <v>1.78699171398608E-3</v>
      </c>
      <c r="X90" s="8">
        <v>5.1937432118075496E-3</v>
      </c>
      <c r="Y90" s="8">
        <v>3.223153538932085E-3</v>
      </c>
      <c r="Z90" s="10">
        <v>2.3907962556199251E-3</v>
      </c>
    </row>
    <row r="91" spans="1:26" x14ac:dyDescent="0.3">
      <c r="A91" s="27">
        <f t="shared" ref="A91:A113" si="25">A90+1</f>
        <v>3</v>
      </c>
      <c r="B91" s="36">
        <v>1.7224145500589563E-3</v>
      </c>
      <c r="C91" s="8">
        <v>2.7219800402165954E-3</v>
      </c>
      <c r="D91" s="8">
        <v>6.1520149437903585E-2</v>
      </c>
      <c r="E91" s="8">
        <v>6.8047833053817295E-3</v>
      </c>
      <c r="F91" s="8">
        <v>1.2871326342954006E-3</v>
      </c>
      <c r="G91" s="8">
        <v>0</v>
      </c>
      <c r="H91" s="8">
        <v>3.4938662923457339E-4</v>
      </c>
      <c r="I91" s="8">
        <v>0.10945356091266691</v>
      </c>
      <c r="J91" s="8">
        <v>4.8274359693829642E-3</v>
      </c>
      <c r="K91" s="8">
        <v>1.6716726439671568E-2</v>
      </c>
      <c r="L91" s="8">
        <v>4.8393872517480074E-4</v>
      </c>
      <c r="M91" s="8">
        <v>4.3674685771649041E-2</v>
      </c>
      <c r="N91" s="8">
        <v>1.3264185571999194E-3</v>
      </c>
      <c r="O91" s="8">
        <v>3.3429804689126385E-3</v>
      </c>
      <c r="P91" s="8">
        <v>3.2044971582457127E-3</v>
      </c>
      <c r="Q91" s="8">
        <v>5.5764468546243406E-3</v>
      </c>
      <c r="R91" s="8">
        <v>2.8821359847946326E-3</v>
      </c>
      <c r="S91" s="8">
        <v>7.1806427104124312E-2</v>
      </c>
      <c r="T91" s="8">
        <v>2.0568185161217736E-2</v>
      </c>
      <c r="U91" s="8">
        <v>3.7007121360822619E-3</v>
      </c>
      <c r="V91" s="8">
        <v>4.3530706998347194E-3</v>
      </c>
      <c r="W91" s="8">
        <v>1.0295451501028763E-3</v>
      </c>
      <c r="X91" s="8">
        <v>5.7399226593695372E-4</v>
      </c>
      <c r="Y91" s="8">
        <v>2.5059116893718595E-3</v>
      </c>
      <c r="Z91" s="10">
        <v>1.9916309059421523E-3</v>
      </c>
    </row>
    <row r="92" spans="1:26" x14ac:dyDescent="0.3">
      <c r="A92" s="27">
        <f t="shared" si="25"/>
        <v>4</v>
      </c>
      <c r="B92" s="36">
        <v>4.2966156291558905E-4</v>
      </c>
      <c r="C92" s="8">
        <v>4.2806872746174008E-4</v>
      </c>
      <c r="D92" s="8">
        <v>5.8735928765793314E-4</v>
      </c>
      <c r="E92" s="8">
        <v>1.9474351020980253E-2</v>
      </c>
      <c r="F92" s="8">
        <v>6.8399815324520497E-3</v>
      </c>
      <c r="G92" s="8">
        <v>0</v>
      </c>
      <c r="H92" s="8">
        <v>1.37715421197966E-4</v>
      </c>
      <c r="I92" s="8">
        <v>1.0356120459912182E-3</v>
      </c>
      <c r="J92" s="8">
        <v>4.4079279891225303E-3</v>
      </c>
      <c r="K92" s="8">
        <v>4.0309498724026803E-3</v>
      </c>
      <c r="L92" s="8">
        <v>1.0020693647030425E-3</v>
      </c>
      <c r="M92" s="8">
        <v>5.7665503536191113E-4</v>
      </c>
      <c r="N92" s="8">
        <v>5.2356631135940706E-4</v>
      </c>
      <c r="O92" s="8">
        <v>1.9428054072886923E-3</v>
      </c>
      <c r="P92" s="8">
        <v>7.657373006743441E-4</v>
      </c>
      <c r="Q92" s="8">
        <v>7.9742584744704021E-4</v>
      </c>
      <c r="R92" s="8">
        <v>3.02084043790599E-3</v>
      </c>
      <c r="S92" s="8">
        <v>2.4104669827104097E-5</v>
      </c>
      <c r="T92" s="8">
        <v>3.1958711365735501E-3</v>
      </c>
      <c r="U92" s="8">
        <v>1.0011395073367471E-3</v>
      </c>
      <c r="V92" s="8">
        <v>1.03532668181787E-4</v>
      </c>
      <c r="W92" s="8">
        <v>1.1526466078100072E-4</v>
      </c>
      <c r="X92" s="8">
        <v>1.7832981588133292E-4</v>
      </c>
      <c r="Y92" s="8">
        <v>9.3670562500215314E-4</v>
      </c>
      <c r="Z92" s="10">
        <v>4.4811512553861603E-4</v>
      </c>
    </row>
    <row r="93" spans="1:26" x14ac:dyDescent="0.3">
      <c r="A93" s="27">
        <f t="shared" si="25"/>
        <v>5</v>
      </c>
      <c r="B93" s="36">
        <v>1.01475217764049E-2</v>
      </c>
      <c r="C93" s="8">
        <v>3.9196032697089302E-2</v>
      </c>
      <c r="D93" s="8">
        <v>1.80121453218463E-2</v>
      </c>
      <c r="E93" s="8">
        <v>3.2964558147885299E-2</v>
      </c>
      <c r="F93" s="8">
        <v>5.2061955320768252E-2</v>
      </c>
      <c r="G93" s="8">
        <v>0</v>
      </c>
      <c r="H93" s="8">
        <v>3.4308454599219248E-3</v>
      </c>
      <c r="I93" s="8">
        <v>8.07734178908108E-3</v>
      </c>
      <c r="J93" s="8">
        <v>7.8244868195230896E-2</v>
      </c>
      <c r="K93" s="8">
        <v>2.3383465843341202E-2</v>
      </c>
      <c r="L93" s="8">
        <v>2.594773897180425E-2</v>
      </c>
      <c r="M93" s="8">
        <v>2.8739885738178199E-2</v>
      </c>
      <c r="N93" s="8">
        <v>4.0069082549776203E-2</v>
      </c>
      <c r="O93" s="8">
        <v>3.77958483200901E-2</v>
      </c>
      <c r="P93" s="8">
        <v>2.94677155712629E-2</v>
      </c>
      <c r="Q93" s="8">
        <v>5.6097606382478099E-2</v>
      </c>
      <c r="R93" s="8">
        <v>5.1733170223390003E-2</v>
      </c>
      <c r="S93" s="8">
        <v>2.4652455728991499E-2</v>
      </c>
      <c r="T93" s="8">
        <v>2.6187940076536801E-2</v>
      </c>
      <c r="U93" s="8">
        <v>3.6790206094792603E-2</v>
      </c>
      <c r="V93" s="8">
        <v>1.5855547019838574E-3</v>
      </c>
      <c r="W93" s="8">
        <v>1.16014832965618E-2</v>
      </c>
      <c r="X93" s="8">
        <v>1.2625299393220799E-2</v>
      </c>
      <c r="Y93" s="8">
        <v>4.9311057453861599E-2</v>
      </c>
      <c r="Z93" s="10">
        <v>2.8965603231233299E-2</v>
      </c>
    </row>
    <row r="94" spans="1:26" x14ac:dyDescent="0.3">
      <c r="A94" s="27">
        <f t="shared" si="25"/>
        <v>6</v>
      </c>
      <c r="B94" s="36">
        <v>0</v>
      </c>
      <c r="C94" s="8">
        <v>0</v>
      </c>
      <c r="D94" s="8">
        <v>0</v>
      </c>
      <c r="E94" s="8">
        <v>0</v>
      </c>
      <c r="F94" s="8">
        <v>0</v>
      </c>
      <c r="G94" s="8">
        <v>0</v>
      </c>
      <c r="H94" s="8">
        <v>0</v>
      </c>
      <c r="I94" s="8">
        <v>0</v>
      </c>
      <c r="J94" s="8">
        <v>0</v>
      </c>
      <c r="K94" s="8">
        <v>0</v>
      </c>
      <c r="L94" s="8">
        <v>0</v>
      </c>
      <c r="M94" s="8">
        <v>0</v>
      </c>
      <c r="N94" s="8">
        <v>0</v>
      </c>
      <c r="O94" s="8">
        <v>0</v>
      </c>
      <c r="P94" s="8">
        <v>0</v>
      </c>
      <c r="Q94" s="8">
        <v>0</v>
      </c>
      <c r="R94" s="8">
        <v>0</v>
      </c>
      <c r="S94" s="8">
        <v>0</v>
      </c>
      <c r="T94" s="8">
        <v>0</v>
      </c>
      <c r="U94" s="8">
        <v>0</v>
      </c>
      <c r="V94" s="8">
        <v>0</v>
      </c>
      <c r="W94" s="8">
        <v>0</v>
      </c>
      <c r="X94" s="8">
        <v>0</v>
      </c>
      <c r="Y94" s="8">
        <v>0</v>
      </c>
      <c r="Z94" s="10">
        <v>0</v>
      </c>
    </row>
    <row r="95" spans="1:26" x14ac:dyDescent="0.3">
      <c r="A95" s="27">
        <f t="shared" si="25"/>
        <v>7</v>
      </c>
      <c r="B95" s="36">
        <v>0.16028201364348199</v>
      </c>
      <c r="C95" s="8">
        <v>0.140644419374166</v>
      </c>
      <c r="D95" s="8">
        <v>0.133159876791589</v>
      </c>
      <c r="E95" s="8">
        <v>0.20167080261919701</v>
      </c>
      <c r="F95" s="8">
        <v>3.98939855807025E-2</v>
      </c>
      <c r="G95" s="8">
        <v>0</v>
      </c>
      <c r="H95" s="8">
        <v>6.6167544967397754E-2</v>
      </c>
      <c r="I95" s="8">
        <v>0.10044933067508401</v>
      </c>
      <c r="J95" s="8">
        <v>0.15926042391827899</v>
      </c>
      <c r="K95" s="8">
        <v>0.230728190637638</v>
      </c>
      <c r="L95" s="8">
        <v>4.0055597026160003E-2</v>
      </c>
      <c r="M95" s="8">
        <v>0.24301457608676899</v>
      </c>
      <c r="N95" s="8">
        <v>0.21416240297202499</v>
      </c>
      <c r="O95" s="8">
        <v>0.183788236880644</v>
      </c>
      <c r="P95" s="8">
        <v>0.19625113009974501</v>
      </c>
      <c r="Q95" s="8">
        <v>0.33320243306493302</v>
      </c>
      <c r="R95" s="8">
        <v>0.20513075044843501</v>
      </c>
      <c r="S95" s="8">
        <v>0.11613295566873</v>
      </c>
      <c r="T95" s="8">
        <v>0.24801022780197499</v>
      </c>
      <c r="U95" s="8">
        <v>0.223624391691672</v>
      </c>
      <c r="V95" s="8">
        <v>6.2660338806810503E-2</v>
      </c>
      <c r="W95" s="8">
        <v>0.171990752192026</v>
      </c>
      <c r="X95" s="8">
        <v>0.21865320442542799</v>
      </c>
      <c r="Y95" s="8">
        <v>0.19583313106608799</v>
      </c>
      <c r="Z95" s="10">
        <v>0.27314692113524902</v>
      </c>
    </row>
    <row r="96" spans="1:26" x14ac:dyDescent="0.3">
      <c r="A96" s="27">
        <f t="shared" si="25"/>
        <v>8</v>
      </c>
      <c r="B96" s="36">
        <v>1.20665402501972E-4</v>
      </c>
      <c r="C96" s="8">
        <v>3.89970267581099E-4</v>
      </c>
      <c r="D96" s="8">
        <v>1.5024882946155199E-2</v>
      </c>
      <c r="E96" s="8">
        <v>9.3582984736613299E-4</v>
      </c>
      <c r="F96" s="8">
        <v>6.7844422499166749E-4</v>
      </c>
      <c r="G96" s="8">
        <v>0</v>
      </c>
      <c r="H96" s="8">
        <v>6.3931402106113999E-5</v>
      </c>
      <c r="I96" s="8">
        <v>2.7467514807638298E-2</v>
      </c>
      <c r="J96" s="8">
        <v>2.4871275540200102E-2</v>
      </c>
      <c r="K96" s="8">
        <v>1.35677787473531E-2</v>
      </c>
      <c r="L96" s="8">
        <v>5.5073167241313747E-5</v>
      </c>
      <c r="M96" s="8">
        <v>3.2435625601778999E-3</v>
      </c>
      <c r="N96" s="8">
        <v>5.2643000887705701E-4</v>
      </c>
      <c r="O96" s="8">
        <v>1.16495964150459E-3</v>
      </c>
      <c r="P96" s="8">
        <v>1.00457590099743E-3</v>
      </c>
      <c r="Q96" s="8">
        <v>1.5265805575712999E-3</v>
      </c>
      <c r="R96" s="8">
        <v>1.39870140444915E-3</v>
      </c>
      <c r="S96" s="8">
        <v>1.52062888807179E-2</v>
      </c>
      <c r="T96" s="8">
        <v>3.8355862322307999E-3</v>
      </c>
      <c r="U96" s="8">
        <v>1.8919152914122701E-3</v>
      </c>
      <c r="V96" s="8">
        <v>1.8525509563803524E-3</v>
      </c>
      <c r="W96" s="8">
        <v>3.98486775168565E-4</v>
      </c>
      <c r="X96" s="8">
        <v>1.2972169023967001E-4</v>
      </c>
      <c r="Y96" s="8">
        <v>8.0553879571171696E-4</v>
      </c>
      <c r="Z96" s="10">
        <v>9.7661399382555189E-4</v>
      </c>
    </row>
    <row r="97" spans="1:26" x14ac:dyDescent="0.3">
      <c r="A97" s="27">
        <f t="shared" si="25"/>
        <v>9</v>
      </c>
      <c r="B97" s="36">
        <v>2.9542517471875598E-2</v>
      </c>
      <c r="C97" s="8">
        <v>5.8390700397720499E-2</v>
      </c>
      <c r="D97" s="8">
        <v>1.7043331891018601E-2</v>
      </c>
      <c r="E97" s="8">
        <v>2.2643414922966201E-2</v>
      </c>
      <c r="F97" s="8">
        <v>8.3959721847705494E-3</v>
      </c>
      <c r="G97" s="8">
        <v>0</v>
      </c>
      <c r="H97" s="8">
        <v>1.9685052905348849E-3</v>
      </c>
      <c r="I97" s="8">
        <v>2.4962355987093E-2</v>
      </c>
      <c r="J97" s="8">
        <v>0.28658766313544498</v>
      </c>
      <c r="K97" s="8">
        <v>0.16469841466502599</v>
      </c>
      <c r="L97" s="8">
        <v>9.7191056788464257E-3</v>
      </c>
      <c r="M97" s="8">
        <v>6.2472320034362297E-3</v>
      </c>
      <c r="N97" s="8">
        <v>2.7572583806540801E-3</v>
      </c>
      <c r="O97" s="8">
        <v>4.2028040485470701E-3</v>
      </c>
      <c r="P97" s="8">
        <v>5.3679115155426298E-3</v>
      </c>
      <c r="Q97" s="8">
        <v>8.5210321048727004E-3</v>
      </c>
      <c r="R97" s="8">
        <v>8.4214188067408095E-3</v>
      </c>
      <c r="S97" s="8">
        <v>1.7348901432181201E-3</v>
      </c>
      <c r="T97" s="8">
        <v>4.4240285646965699E-3</v>
      </c>
      <c r="U97" s="8">
        <v>3.7540117061461403E-2</v>
      </c>
      <c r="V97" s="8">
        <v>1.4230327459050826E-3</v>
      </c>
      <c r="W97" s="8">
        <v>3.4032556524914602E-3</v>
      </c>
      <c r="X97" s="8">
        <v>7.9044607078611995E-2</v>
      </c>
      <c r="Y97" s="8">
        <v>1.4169102128574E-2</v>
      </c>
      <c r="Z97" s="10">
        <v>8.1007425762811298E-3</v>
      </c>
    </row>
    <row r="98" spans="1:26" ht="28.65" customHeight="1" x14ac:dyDescent="0.3">
      <c r="A98" s="27">
        <f t="shared" si="25"/>
        <v>10</v>
      </c>
      <c r="B98" s="36">
        <v>1.3440297982928966E-4</v>
      </c>
      <c r="C98" s="8">
        <v>1.8728909889335129E-4</v>
      </c>
      <c r="D98" s="8">
        <v>3.6315956375259605E-3</v>
      </c>
      <c r="E98" s="8">
        <v>5.2149592520257955E-4</v>
      </c>
      <c r="F98" s="8">
        <v>8.5014018726154561E-5</v>
      </c>
      <c r="G98" s="8">
        <v>0</v>
      </c>
      <c r="H98" s="8">
        <v>3.1812966177937765E-5</v>
      </c>
      <c r="I98" s="8">
        <v>6.3476374654182263E-3</v>
      </c>
      <c r="J98" s="8">
        <v>4.9157748719512624E-4</v>
      </c>
      <c r="K98" s="8">
        <v>1.1025288845286122E-3</v>
      </c>
      <c r="L98" s="8">
        <v>3.3869424392632423E-5</v>
      </c>
      <c r="M98" s="8">
        <v>3.4890450357225149E-3</v>
      </c>
      <c r="N98" s="8">
        <v>7.6420583826021331E-4</v>
      </c>
      <c r="O98" s="8">
        <v>4.7506985571084376E-4</v>
      </c>
      <c r="P98" s="8">
        <v>1.3262700877206893E-3</v>
      </c>
      <c r="Q98" s="8">
        <v>4.5908085687574188E-3</v>
      </c>
      <c r="R98" s="8">
        <v>1.1859340003504454E-3</v>
      </c>
      <c r="S98" s="8">
        <v>4.1469915158764033E-3</v>
      </c>
      <c r="T98" s="8">
        <v>1.2231873331076813E-3</v>
      </c>
      <c r="U98" s="8">
        <v>3.8615857569367979E-4</v>
      </c>
      <c r="V98" s="8">
        <v>3.1525824114669697E-4</v>
      </c>
      <c r="W98" s="8">
        <v>9.2887660982543202E-5</v>
      </c>
      <c r="X98" s="8">
        <v>5.6173953930120251E-5</v>
      </c>
      <c r="Y98" s="8">
        <v>2.2529102990019077E-4</v>
      </c>
      <c r="Z98" s="10">
        <v>1.9071560857587813E-4</v>
      </c>
    </row>
    <row r="99" spans="1:26" x14ac:dyDescent="0.3">
      <c r="A99" s="27">
        <f t="shared" si="25"/>
        <v>11</v>
      </c>
      <c r="B99" s="36">
        <v>1.4484177093716501E-2</v>
      </c>
      <c r="C99" s="8">
        <v>2.5603862569102302E-2</v>
      </c>
      <c r="D99" s="8">
        <v>2.7720864708768202E-2</v>
      </c>
      <c r="E99" s="8">
        <v>6.2984282932331201E-2</v>
      </c>
      <c r="F99" s="8">
        <v>3.0498869045219E-2</v>
      </c>
      <c r="G99" s="8">
        <v>0</v>
      </c>
      <c r="H99" s="8">
        <v>5.7211660870306498E-3</v>
      </c>
      <c r="I99" s="8">
        <v>1.6353183690639199E-2</v>
      </c>
      <c r="J99" s="8">
        <v>4.3304041925318199E-2</v>
      </c>
      <c r="K99" s="8">
        <v>4.2805069711458803E-2</v>
      </c>
      <c r="L99" s="8">
        <v>8.3729198427362997E-2</v>
      </c>
      <c r="M99" s="8">
        <v>6.6553674485956102E-2</v>
      </c>
      <c r="N99" s="8">
        <v>2.8775742312845701E-2</v>
      </c>
      <c r="O99" s="8">
        <v>4.13700352637658E-2</v>
      </c>
      <c r="P99" s="8">
        <v>2.4184126210035201E-2</v>
      </c>
      <c r="Q99" s="8">
        <v>4.3423477728635099E-2</v>
      </c>
      <c r="R99" s="8">
        <v>2.1268709155750701E-2</v>
      </c>
      <c r="S99" s="8">
        <v>6.7082702050553396E-3</v>
      </c>
      <c r="T99" s="8">
        <v>1.38998602410568E-2</v>
      </c>
      <c r="U99" s="8">
        <v>2.1620419428628E-2</v>
      </c>
      <c r="V99" s="8">
        <v>9.1216296226683501E-3</v>
      </c>
      <c r="W99" s="8">
        <v>1.7261211716239101E-2</v>
      </c>
      <c r="X99" s="8">
        <v>3.0634544876883101E-2</v>
      </c>
      <c r="Y99" s="8">
        <v>6.0127035812062302E-2</v>
      </c>
      <c r="Z99" s="10">
        <v>4.8210825376972098E-2</v>
      </c>
    </row>
    <row r="100" spans="1:26" x14ac:dyDescent="0.3">
      <c r="A100" s="27">
        <f t="shared" si="25"/>
        <v>12</v>
      </c>
      <c r="B100" s="36">
        <v>0</v>
      </c>
      <c r="C100" s="8">
        <v>0</v>
      </c>
      <c r="D100" s="8">
        <v>0</v>
      </c>
      <c r="E100" s="8">
        <v>0</v>
      </c>
      <c r="F100" s="8">
        <v>0</v>
      </c>
      <c r="G100" s="8">
        <v>0</v>
      </c>
      <c r="H100" s="8">
        <v>0</v>
      </c>
      <c r="I100" s="8">
        <v>0</v>
      </c>
      <c r="J100" s="8">
        <v>0</v>
      </c>
      <c r="K100" s="8">
        <v>0</v>
      </c>
      <c r="L100" s="8">
        <v>0</v>
      </c>
      <c r="M100" s="8">
        <v>0</v>
      </c>
      <c r="N100" s="8">
        <v>0</v>
      </c>
      <c r="O100" s="8">
        <v>0</v>
      </c>
      <c r="P100" s="8">
        <v>0</v>
      </c>
      <c r="Q100" s="8">
        <v>0</v>
      </c>
      <c r="R100" s="8">
        <v>0</v>
      </c>
      <c r="S100" s="8">
        <v>0</v>
      </c>
      <c r="T100" s="8">
        <v>0</v>
      </c>
      <c r="U100" s="8">
        <v>0</v>
      </c>
      <c r="V100" s="8">
        <v>0</v>
      </c>
      <c r="W100" s="8">
        <v>0</v>
      </c>
      <c r="X100" s="8">
        <v>0</v>
      </c>
      <c r="Y100" s="8">
        <v>0</v>
      </c>
      <c r="Z100" s="10">
        <v>0</v>
      </c>
    </row>
    <row r="101" spans="1:26" x14ac:dyDescent="0.3">
      <c r="A101" s="27">
        <f t="shared" si="25"/>
        <v>13</v>
      </c>
      <c r="B101" s="36">
        <v>0</v>
      </c>
      <c r="C101" s="8">
        <v>0</v>
      </c>
      <c r="D101" s="8">
        <v>0</v>
      </c>
      <c r="E101" s="8">
        <v>0</v>
      </c>
      <c r="F101" s="8">
        <v>0</v>
      </c>
      <c r="G101" s="8">
        <v>0</v>
      </c>
      <c r="H101" s="8">
        <v>0</v>
      </c>
      <c r="I101" s="8">
        <v>0</v>
      </c>
      <c r="J101" s="8">
        <v>0</v>
      </c>
      <c r="K101" s="8">
        <v>0</v>
      </c>
      <c r="L101" s="8">
        <v>0</v>
      </c>
      <c r="M101" s="8">
        <v>0</v>
      </c>
      <c r="N101" s="8">
        <v>0</v>
      </c>
      <c r="O101" s="8">
        <v>0</v>
      </c>
      <c r="P101" s="8">
        <v>0</v>
      </c>
      <c r="Q101" s="8">
        <v>0</v>
      </c>
      <c r="R101" s="8">
        <v>0</v>
      </c>
      <c r="S101" s="8">
        <v>0</v>
      </c>
      <c r="T101" s="8">
        <v>0</v>
      </c>
      <c r="U101" s="8">
        <v>0</v>
      </c>
      <c r="V101" s="8">
        <v>0</v>
      </c>
      <c r="W101" s="8">
        <v>0</v>
      </c>
      <c r="X101" s="8">
        <v>0</v>
      </c>
      <c r="Y101" s="8">
        <v>0</v>
      </c>
      <c r="Z101" s="10">
        <v>0</v>
      </c>
    </row>
    <row r="102" spans="1:26" ht="28.65" customHeight="1" x14ac:dyDescent="0.3">
      <c r="A102" s="27">
        <f t="shared" si="25"/>
        <v>14</v>
      </c>
      <c r="B102" s="36">
        <v>2.3424669034570311E-3</v>
      </c>
      <c r="C102" s="8">
        <v>2.7737948112722299E-3</v>
      </c>
      <c r="D102" s="8">
        <v>3.1494182087437742E-3</v>
      </c>
      <c r="E102" s="8">
        <v>1.0813050537982014E-2</v>
      </c>
      <c r="F102" s="8">
        <v>5.3768143153903707E-4</v>
      </c>
      <c r="G102" s="8">
        <v>0</v>
      </c>
      <c r="H102" s="8">
        <v>4.7281650154406716E-4</v>
      </c>
      <c r="I102" s="8">
        <v>2.9964648971326194E-3</v>
      </c>
      <c r="J102" s="8">
        <v>2.8008959811214899E-3</v>
      </c>
      <c r="K102" s="8">
        <v>4.9779685482993358E-3</v>
      </c>
      <c r="L102" s="8">
        <v>5.5346927579012816E-4</v>
      </c>
      <c r="M102" s="8">
        <v>3.2139875801210733E-3</v>
      </c>
      <c r="N102" s="8">
        <v>5.3642566812232605E-3</v>
      </c>
      <c r="O102" s="8">
        <v>2.7553631139977234E-4</v>
      </c>
      <c r="P102" s="8">
        <v>3.5837527695636E-4</v>
      </c>
      <c r="Q102" s="8">
        <v>5.4425226834528126E-3</v>
      </c>
      <c r="R102" s="8">
        <v>1.8955241203802713E-3</v>
      </c>
      <c r="S102" s="8">
        <v>1.952152134600278E-4</v>
      </c>
      <c r="T102" s="8">
        <v>1.5497653182667244E-3</v>
      </c>
      <c r="U102" s="8">
        <v>1.0951675875576587E-3</v>
      </c>
      <c r="V102" s="8">
        <v>2.4564835378632402E-4</v>
      </c>
      <c r="W102" s="8">
        <v>1.4898699022137753E-3</v>
      </c>
      <c r="X102" s="8">
        <v>1.1721145306264732E-3</v>
      </c>
      <c r="Y102" s="8">
        <v>3.2111475765940053E-3</v>
      </c>
      <c r="Z102" s="10">
        <v>1.5709110667152858E-3</v>
      </c>
    </row>
    <row r="103" spans="1:26" x14ac:dyDescent="0.3">
      <c r="A103" s="27">
        <f t="shared" si="25"/>
        <v>15</v>
      </c>
      <c r="B103" s="36">
        <v>7.9808587305661715E-4</v>
      </c>
      <c r="C103" s="8">
        <v>9.4958755041893081E-4</v>
      </c>
      <c r="D103" s="8">
        <v>9.6575387848379969E-3</v>
      </c>
      <c r="E103" s="8">
        <v>3.1254879103533024E-3</v>
      </c>
      <c r="F103" s="8">
        <v>3.2174596906863455E-4</v>
      </c>
      <c r="G103" s="8">
        <v>0</v>
      </c>
      <c r="H103" s="8">
        <v>1.6870069308970835E-4</v>
      </c>
      <c r="I103" s="8">
        <v>1.6637108687889039E-2</v>
      </c>
      <c r="J103" s="8">
        <v>1.5356938424803171E-3</v>
      </c>
      <c r="K103" s="8">
        <v>3.3999071907580025E-3</v>
      </c>
      <c r="L103" s="8">
        <v>1.9312032442950721E-4</v>
      </c>
      <c r="M103" s="8">
        <v>8.7302929310337802E-3</v>
      </c>
      <c r="N103" s="8">
        <v>2.7191344807195165E-3</v>
      </c>
      <c r="O103" s="8">
        <v>9.6275907968387429E-4</v>
      </c>
      <c r="P103" s="8">
        <v>2.2843892286171126E-3</v>
      </c>
      <c r="Q103" s="8">
        <v>8.7999021429869297E-3</v>
      </c>
      <c r="R103" s="8">
        <v>2.394496897544954E-3</v>
      </c>
      <c r="S103" s="8">
        <v>1.0617471825343762E-2</v>
      </c>
      <c r="T103" s="8">
        <v>3.2964636055837749E-3</v>
      </c>
      <c r="U103" s="8">
        <v>1.073181606968927E-3</v>
      </c>
      <c r="V103" s="8">
        <v>7.8730315150363456E-4</v>
      </c>
      <c r="W103" s="8">
        <v>5.3871710120300949E-4</v>
      </c>
      <c r="X103" s="8">
        <v>3.7596614392344991E-4</v>
      </c>
      <c r="Y103" s="8">
        <v>1.0674943587297289E-3</v>
      </c>
      <c r="Z103" s="10">
        <v>7.6409027071189792E-4</v>
      </c>
    </row>
    <row r="104" spans="1:26" x14ac:dyDescent="0.3">
      <c r="A104" s="27">
        <f t="shared" si="25"/>
        <v>16</v>
      </c>
      <c r="B104" s="36">
        <v>0</v>
      </c>
      <c r="C104" s="8">
        <v>0</v>
      </c>
      <c r="D104" s="8">
        <v>0</v>
      </c>
      <c r="E104" s="8">
        <v>0</v>
      </c>
      <c r="F104" s="8">
        <v>0</v>
      </c>
      <c r="G104" s="8">
        <v>0</v>
      </c>
      <c r="H104" s="8">
        <v>0</v>
      </c>
      <c r="I104" s="8">
        <v>0</v>
      </c>
      <c r="J104" s="8">
        <v>0</v>
      </c>
      <c r="K104" s="8">
        <v>0</v>
      </c>
      <c r="L104" s="8">
        <v>0</v>
      </c>
      <c r="M104" s="8">
        <v>0</v>
      </c>
      <c r="N104" s="8">
        <v>0</v>
      </c>
      <c r="O104" s="8">
        <v>0</v>
      </c>
      <c r="P104" s="8">
        <v>0</v>
      </c>
      <c r="Q104" s="8">
        <v>0</v>
      </c>
      <c r="R104" s="8">
        <v>0</v>
      </c>
      <c r="S104" s="8">
        <v>0</v>
      </c>
      <c r="T104" s="8">
        <v>0</v>
      </c>
      <c r="U104" s="8">
        <v>0</v>
      </c>
      <c r="V104" s="8">
        <v>0</v>
      </c>
      <c r="W104" s="8">
        <v>0</v>
      </c>
      <c r="X104" s="8">
        <v>0</v>
      </c>
      <c r="Y104" s="8">
        <v>0</v>
      </c>
      <c r="Z104" s="10">
        <v>0</v>
      </c>
    </row>
    <row r="105" spans="1:26" x14ac:dyDescent="0.3">
      <c r="A105" s="27">
        <f t="shared" si="25"/>
        <v>17</v>
      </c>
      <c r="B105" s="36">
        <v>1.6676701156516488E-4</v>
      </c>
      <c r="C105" s="8">
        <v>2.0204784681944035E-4</v>
      </c>
      <c r="D105" s="8">
        <v>2.0450585037380909E-3</v>
      </c>
      <c r="E105" s="8">
        <v>6.5918075020168494E-4</v>
      </c>
      <c r="F105" s="8">
        <v>6.7352759999226192E-5</v>
      </c>
      <c r="G105" s="8">
        <v>0</v>
      </c>
      <c r="H105" s="8">
        <v>3.47446594819551E-5</v>
      </c>
      <c r="I105" s="8">
        <v>3.5243060917643262E-3</v>
      </c>
      <c r="J105" s="8">
        <v>3.5746317964641409E-4</v>
      </c>
      <c r="K105" s="8">
        <v>7.2864296633321174E-4</v>
      </c>
      <c r="L105" s="8">
        <v>4.1097707387537831E-5</v>
      </c>
      <c r="M105" s="8">
        <v>1.8532552632781565E-3</v>
      </c>
      <c r="N105" s="8">
        <v>5.9222725318992375E-4</v>
      </c>
      <c r="O105" s="8">
        <v>2.0597510529531081E-4</v>
      </c>
      <c r="P105" s="8">
        <v>4.8438386052838885E-4</v>
      </c>
      <c r="Q105" s="8">
        <v>1.8805248333814615E-3</v>
      </c>
      <c r="R105" s="8">
        <v>5.1593479730512623E-4</v>
      </c>
      <c r="S105" s="8">
        <v>2.2495939397828759E-3</v>
      </c>
      <c r="T105" s="8">
        <v>6.9747693233342795E-4</v>
      </c>
      <c r="U105" s="8">
        <v>2.3118702682571412E-4</v>
      </c>
      <c r="V105" s="8">
        <v>1.670272185190213E-4</v>
      </c>
      <c r="W105" s="8">
        <v>1.2826182619722124E-4</v>
      </c>
      <c r="X105" s="8">
        <v>8.2781966862413122E-5</v>
      </c>
      <c r="Y105" s="8">
        <v>2.358109171153789E-4</v>
      </c>
      <c r="Z105" s="10">
        <v>1.8196833866156574E-4</v>
      </c>
    </row>
    <row r="106" spans="1:26" ht="28.65" customHeight="1" x14ac:dyDescent="0.3">
      <c r="A106" s="27">
        <f t="shared" si="25"/>
        <v>18</v>
      </c>
      <c r="B106" s="36">
        <v>0</v>
      </c>
      <c r="C106" s="8">
        <v>0</v>
      </c>
      <c r="D106" s="8">
        <v>0</v>
      </c>
      <c r="E106" s="8">
        <v>0</v>
      </c>
      <c r="F106" s="8">
        <v>0</v>
      </c>
      <c r="G106" s="8">
        <v>0</v>
      </c>
      <c r="H106" s="8">
        <v>0</v>
      </c>
      <c r="I106" s="8">
        <v>0</v>
      </c>
      <c r="J106" s="8">
        <v>0</v>
      </c>
      <c r="K106" s="8">
        <v>0</v>
      </c>
      <c r="L106" s="8">
        <v>0</v>
      </c>
      <c r="M106" s="8">
        <v>0</v>
      </c>
      <c r="N106" s="8">
        <v>0</v>
      </c>
      <c r="O106" s="8">
        <v>0</v>
      </c>
      <c r="P106" s="8">
        <v>0</v>
      </c>
      <c r="Q106" s="8">
        <v>0</v>
      </c>
      <c r="R106" s="8">
        <v>0</v>
      </c>
      <c r="S106" s="8">
        <v>0</v>
      </c>
      <c r="T106" s="8">
        <v>0</v>
      </c>
      <c r="U106" s="8">
        <v>0</v>
      </c>
      <c r="V106" s="8">
        <v>0</v>
      </c>
      <c r="W106" s="8">
        <v>0</v>
      </c>
      <c r="X106" s="8">
        <v>0</v>
      </c>
      <c r="Y106" s="8">
        <v>0</v>
      </c>
      <c r="Z106" s="10">
        <v>0</v>
      </c>
    </row>
    <row r="107" spans="1:26" x14ac:dyDescent="0.3">
      <c r="A107" s="27">
        <f t="shared" si="25"/>
        <v>19</v>
      </c>
      <c r="B107" s="36">
        <v>0</v>
      </c>
      <c r="C107" s="8">
        <v>0</v>
      </c>
      <c r="D107" s="8">
        <v>0</v>
      </c>
      <c r="E107" s="8">
        <v>0</v>
      </c>
      <c r="F107" s="8">
        <v>0</v>
      </c>
      <c r="G107" s="8">
        <v>0</v>
      </c>
      <c r="H107" s="8">
        <v>0</v>
      </c>
      <c r="I107" s="8">
        <v>0</v>
      </c>
      <c r="J107" s="8">
        <v>0</v>
      </c>
      <c r="K107" s="8">
        <v>0</v>
      </c>
      <c r="L107" s="8">
        <v>0</v>
      </c>
      <c r="M107" s="8">
        <v>0</v>
      </c>
      <c r="N107" s="8">
        <v>0</v>
      </c>
      <c r="O107" s="8">
        <v>0</v>
      </c>
      <c r="P107" s="8">
        <v>0</v>
      </c>
      <c r="Q107" s="8">
        <v>0</v>
      </c>
      <c r="R107" s="8">
        <v>0</v>
      </c>
      <c r="S107" s="8">
        <v>0</v>
      </c>
      <c r="T107" s="8">
        <v>0</v>
      </c>
      <c r="U107" s="8">
        <v>0</v>
      </c>
      <c r="V107" s="8">
        <v>0</v>
      </c>
      <c r="W107" s="8">
        <v>0</v>
      </c>
      <c r="X107" s="8">
        <v>0</v>
      </c>
      <c r="Y107" s="8">
        <v>0</v>
      </c>
      <c r="Z107" s="10">
        <v>0</v>
      </c>
    </row>
    <row r="108" spans="1:26" ht="28.65" customHeight="1" x14ac:dyDescent="0.3">
      <c r="A108" s="27">
        <f t="shared" si="25"/>
        <v>20</v>
      </c>
      <c r="B108" s="36">
        <v>0</v>
      </c>
      <c r="C108" s="8">
        <v>0</v>
      </c>
      <c r="D108" s="8">
        <v>0</v>
      </c>
      <c r="E108" s="8">
        <v>0</v>
      </c>
      <c r="F108" s="8">
        <v>0</v>
      </c>
      <c r="G108" s="8">
        <v>0</v>
      </c>
      <c r="H108" s="8">
        <v>0</v>
      </c>
      <c r="I108" s="8">
        <v>0</v>
      </c>
      <c r="J108" s="8">
        <v>0</v>
      </c>
      <c r="K108" s="8">
        <v>0</v>
      </c>
      <c r="L108" s="8">
        <v>0</v>
      </c>
      <c r="M108" s="8">
        <v>0</v>
      </c>
      <c r="N108" s="8">
        <v>0</v>
      </c>
      <c r="O108" s="8">
        <v>0</v>
      </c>
      <c r="P108" s="8">
        <v>0</v>
      </c>
      <c r="Q108" s="8">
        <v>0</v>
      </c>
      <c r="R108" s="8">
        <v>0</v>
      </c>
      <c r="S108" s="8">
        <v>0</v>
      </c>
      <c r="T108" s="8">
        <v>0</v>
      </c>
      <c r="U108" s="8">
        <v>0</v>
      </c>
      <c r="V108" s="8">
        <v>0</v>
      </c>
      <c r="W108" s="8">
        <v>0</v>
      </c>
      <c r="X108" s="8">
        <v>0</v>
      </c>
      <c r="Y108" s="8">
        <v>0</v>
      </c>
      <c r="Z108" s="10">
        <v>0</v>
      </c>
    </row>
    <row r="109" spans="1:26" x14ac:dyDescent="0.3">
      <c r="A109" s="27">
        <f t="shared" si="25"/>
        <v>21</v>
      </c>
      <c r="B109" s="36">
        <v>2.22091646926935E-2</v>
      </c>
      <c r="C109" s="8">
        <v>1.9141422326554299E-2</v>
      </c>
      <c r="D109" s="8">
        <v>2.0247649677415901E-2</v>
      </c>
      <c r="E109" s="8">
        <v>4.6872132726848002E-2</v>
      </c>
      <c r="F109" s="8">
        <v>7.4806292901246248E-3</v>
      </c>
      <c r="G109" s="8">
        <v>0</v>
      </c>
      <c r="H109" s="8">
        <v>5.0844715496011E-3</v>
      </c>
      <c r="I109" s="8">
        <v>1.42286015326123E-2</v>
      </c>
      <c r="J109" s="8">
        <v>1.52895197882425E-2</v>
      </c>
      <c r="K109" s="8">
        <v>3.1988800569947601E-2</v>
      </c>
      <c r="L109" s="8">
        <v>4.1956697875514502E-3</v>
      </c>
      <c r="M109" s="8">
        <v>2.8496385389400199E-2</v>
      </c>
      <c r="N109" s="8">
        <v>1.21743853468408E-2</v>
      </c>
      <c r="O109" s="8">
        <v>1.1860851130276E-2</v>
      </c>
      <c r="P109" s="8">
        <v>2.4799956058600098E-2</v>
      </c>
      <c r="Q109" s="8">
        <v>3.9300428998772403E-2</v>
      </c>
      <c r="R109" s="8">
        <v>2.5392930060305099E-2</v>
      </c>
      <c r="S109" s="8">
        <v>3.6822023518479997E-2</v>
      </c>
      <c r="T109" s="8">
        <v>4.6184851090420302E-2</v>
      </c>
      <c r="U109" s="8">
        <v>5.5577535786091203E-2</v>
      </c>
      <c r="V109" s="8">
        <v>1.9091404905514326E-2</v>
      </c>
      <c r="W109" s="8">
        <v>1.8150182660851E-2</v>
      </c>
      <c r="X109" s="8">
        <v>1.2231703456507001E-2</v>
      </c>
      <c r="Y109" s="8">
        <v>3.0095372305840001E-2</v>
      </c>
      <c r="Z109" s="10">
        <v>3.9467346018847597E-2</v>
      </c>
    </row>
    <row r="110" spans="1:26" x14ac:dyDescent="0.3">
      <c r="A110" s="27">
        <f t="shared" si="25"/>
        <v>22</v>
      </c>
      <c r="B110" s="36">
        <v>2.6363103310189E-4</v>
      </c>
      <c r="C110" s="8">
        <v>2.4065256568668101E-4</v>
      </c>
      <c r="D110" s="8">
        <v>2.4599557233919399E-4</v>
      </c>
      <c r="E110" s="8">
        <v>3.6961142917617002E-4</v>
      </c>
      <c r="F110" s="8">
        <v>6.5550812279954244E-5</v>
      </c>
      <c r="G110" s="8">
        <v>0</v>
      </c>
      <c r="H110" s="8">
        <v>4.6245326520822001E-4</v>
      </c>
      <c r="I110" s="8">
        <v>1.9724403029211301E-4</v>
      </c>
      <c r="J110" s="8">
        <v>3.5476681661118699E-4</v>
      </c>
      <c r="K110" s="8">
        <v>6.9350940220937901E-4</v>
      </c>
      <c r="L110" s="8">
        <v>8.5956489779720756E-5</v>
      </c>
      <c r="M110" s="8">
        <v>6.66443755289816E-4</v>
      </c>
      <c r="N110" s="8">
        <v>1.28460364146273E-3</v>
      </c>
      <c r="O110" s="8">
        <v>5.5933385255008399E-4</v>
      </c>
      <c r="P110" s="8">
        <v>1.4619036268246799E-3</v>
      </c>
      <c r="Q110" s="8">
        <v>1.0173245740296101E-3</v>
      </c>
      <c r="R110" s="8">
        <v>8.2127116296431104E-4</v>
      </c>
      <c r="S110" s="8">
        <v>1.940454955051E-3</v>
      </c>
      <c r="T110" s="8">
        <v>2.6109426775632402E-4</v>
      </c>
      <c r="U110" s="8">
        <v>1.90919636417208E-3</v>
      </c>
      <c r="V110" s="8">
        <v>1.6728165637511374E-4</v>
      </c>
      <c r="W110" s="8">
        <v>1.1921982684464399E-2</v>
      </c>
      <c r="X110" s="8">
        <v>1.4135707015807001E-3</v>
      </c>
      <c r="Y110" s="8">
        <v>1.96209790268004E-3</v>
      </c>
      <c r="Z110" s="10">
        <v>1.57616838691568E-3</v>
      </c>
    </row>
    <row r="111" spans="1:26" x14ac:dyDescent="0.3">
      <c r="A111" s="27">
        <f t="shared" si="25"/>
        <v>23</v>
      </c>
      <c r="B111" s="36">
        <v>2.7529415521472398E-4</v>
      </c>
      <c r="C111" s="8">
        <v>2.04415359774232E-4</v>
      </c>
      <c r="D111" s="8">
        <v>1.5879554792403499E-4</v>
      </c>
      <c r="E111" s="8">
        <v>4.4035335320892998E-4</v>
      </c>
      <c r="F111" s="8">
        <v>1.0065788058091751E-4</v>
      </c>
      <c r="G111" s="8">
        <v>0</v>
      </c>
      <c r="H111" s="8">
        <v>5.1828471623377253E-4</v>
      </c>
      <c r="I111" s="8">
        <v>2.0242080825696399E-4</v>
      </c>
      <c r="J111" s="8">
        <v>2.99370094272636E-4</v>
      </c>
      <c r="K111" s="8">
        <v>8.09253413078774E-4</v>
      </c>
      <c r="L111" s="8">
        <v>1.7419062771539999E-4</v>
      </c>
      <c r="M111" s="8">
        <v>5.3793287204814905E-4</v>
      </c>
      <c r="N111" s="8">
        <v>3.3677362055066501E-4</v>
      </c>
      <c r="O111" s="8">
        <v>8.8424532245259097E-4</v>
      </c>
      <c r="P111" s="8">
        <v>4.3302384103292499E-4</v>
      </c>
      <c r="Q111" s="8">
        <v>3.28729824259229E-4</v>
      </c>
      <c r="R111" s="8">
        <v>3.6633293743371001E-4</v>
      </c>
      <c r="S111" s="8">
        <v>4.7077392619808298E-4</v>
      </c>
      <c r="T111" s="8">
        <v>3.4873697412372303E-4</v>
      </c>
      <c r="U111" s="8">
        <v>3.0925258397174302E-4</v>
      </c>
      <c r="V111" s="8">
        <v>5.1249104242760247E-5</v>
      </c>
      <c r="W111" s="8">
        <v>1.25664417123887E-3</v>
      </c>
      <c r="X111" s="8">
        <v>2.1711104597175901E-2</v>
      </c>
      <c r="Y111" s="8">
        <v>3.44567312978768E-3</v>
      </c>
      <c r="Z111" s="10">
        <v>2.5682704112420401E-3</v>
      </c>
    </row>
    <row r="112" spans="1:26" x14ac:dyDescent="0.3">
      <c r="A112" s="27">
        <f t="shared" si="25"/>
        <v>24</v>
      </c>
      <c r="B112" s="36">
        <v>1.02081087847596E-2</v>
      </c>
      <c r="C112" s="8">
        <v>4.2158240414676001E-3</v>
      </c>
      <c r="D112" s="8">
        <v>5.4739623713019698E-3</v>
      </c>
      <c r="E112" s="8">
        <v>3.2015688407412602E-3</v>
      </c>
      <c r="F112" s="8">
        <v>7.0938046368544747E-4</v>
      </c>
      <c r="G112" s="8">
        <v>0</v>
      </c>
      <c r="H112" s="8">
        <v>9.4350377289984498E-4</v>
      </c>
      <c r="I112" s="8">
        <v>1.2526283276512E-3</v>
      </c>
      <c r="J112" s="8">
        <v>3.4312712389129901E-3</v>
      </c>
      <c r="K112" s="8">
        <v>2.37938816742781E-3</v>
      </c>
      <c r="L112" s="8">
        <v>3.5174405030935502E-4</v>
      </c>
      <c r="M112" s="8">
        <v>1.49995270565634E-2</v>
      </c>
      <c r="N112" s="8">
        <v>1.5951830419587001E-2</v>
      </c>
      <c r="O112" s="8">
        <v>2.9010208385224601E-2</v>
      </c>
      <c r="P112" s="8">
        <v>3.74767379819606E-3</v>
      </c>
      <c r="Q112" s="8">
        <v>1.7567815282623502E-2</v>
      </c>
      <c r="R112" s="8">
        <v>3.4811933522660402E-3</v>
      </c>
      <c r="S112" s="8">
        <v>6.5371255212567795E-4</v>
      </c>
      <c r="T112" s="8">
        <v>8.8033648607272895E-4</v>
      </c>
      <c r="U112" s="8">
        <v>2.3194502879786902E-3</v>
      </c>
      <c r="V112" s="8">
        <v>9.5129508771262753E-4</v>
      </c>
      <c r="W112" s="8">
        <v>3.7731039005323001E-3</v>
      </c>
      <c r="X112" s="8">
        <v>3.9170567389686496E-3</v>
      </c>
      <c r="Y112" s="8">
        <v>4.6316261225656297E-2</v>
      </c>
      <c r="Z112" s="10">
        <v>7.2473286377713206E-2</v>
      </c>
    </row>
    <row r="113" spans="1:26" ht="15" thickBot="1" x14ac:dyDescent="0.35">
      <c r="A113" s="27">
        <f t="shared" si="25"/>
        <v>25</v>
      </c>
      <c r="B113" s="37">
        <v>3.64320599992857E-4</v>
      </c>
      <c r="C113" s="38">
        <v>2.3575402106929601E-4</v>
      </c>
      <c r="D113" s="38">
        <v>4.97619397954724E-4</v>
      </c>
      <c r="E113" s="38">
        <v>3.1909637873511098E-4</v>
      </c>
      <c r="F113" s="38">
        <v>1.16451907906953E-4</v>
      </c>
      <c r="G113" s="38">
        <v>0</v>
      </c>
      <c r="H113" s="38">
        <v>1.40703111897181E-4</v>
      </c>
      <c r="I113" s="38">
        <v>3.58582726728274E-4</v>
      </c>
      <c r="J113" s="38">
        <v>7.5142131333864903E-4</v>
      </c>
      <c r="K113" s="38">
        <v>6.4544944623498503E-4</v>
      </c>
      <c r="L113" s="38">
        <v>4.4026778664408249E-5</v>
      </c>
      <c r="M113" s="38">
        <v>2.1567165035020499E-4</v>
      </c>
      <c r="N113" s="38">
        <v>4.7267970452912497E-4</v>
      </c>
      <c r="O113" s="38">
        <v>6.0856102487955E-4</v>
      </c>
      <c r="P113" s="38">
        <v>2.8157830766378301E-4</v>
      </c>
      <c r="Q113" s="38">
        <v>4.4962768271646402E-3</v>
      </c>
      <c r="R113" s="38">
        <v>5.6958205677985698E-4</v>
      </c>
      <c r="S113" s="38">
        <v>1.9477810408181199E-4</v>
      </c>
      <c r="T113" s="38">
        <v>1.4593615614314601E-4</v>
      </c>
      <c r="U113" s="38">
        <v>1.3636385273401699E-4</v>
      </c>
      <c r="V113" s="38">
        <v>9.1491489452950496E-5</v>
      </c>
      <c r="W113" s="38">
        <v>2.00533950700308E-4</v>
      </c>
      <c r="X113" s="38">
        <v>5.8566946999952197E-4</v>
      </c>
      <c r="Y113" s="38">
        <v>8.0550439330272401E-3</v>
      </c>
      <c r="Z113" s="39">
        <v>2.90726182216101E-2</v>
      </c>
    </row>
    <row r="116" spans="1:26" ht="15" thickBot="1" x14ac:dyDescent="0.35">
      <c r="A116" s="1" t="s">
        <v>136</v>
      </c>
    </row>
    <row r="117" spans="1:26" ht="15" thickBot="1" x14ac:dyDescent="0.35">
      <c r="A117" s="31" t="s">
        <v>0</v>
      </c>
      <c r="B117" s="55">
        <v>1</v>
      </c>
      <c r="C117" s="67">
        <f>B117+1</f>
        <v>2</v>
      </c>
      <c r="D117" s="67">
        <f t="shared" ref="D117" si="26">C117+1</f>
        <v>3</v>
      </c>
      <c r="E117" s="67">
        <f t="shared" ref="E117" si="27">D117+1</f>
        <v>4</v>
      </c>
      <c r="F117" s="67">
        <f t="shared" ref="F117" si="28">E117+1</f>
        <v>5</v>
      </c>
      <c r="G117" s="67">
        <f t="shared" ref="G117" si="29">F117+1</f>
        <v>6</v>
      </c>
      <c r="H117" s="67">
        <f t="shared" ref="H117" si="30">G117+1</f>
        <v>7</v>
      </c>
      <c r="I117" s="67">
        <f t="shared" ref="I117" si="31">H117+1</f>
        <v>8</v>
      </c>
      <c r="J117" s="67">
        <f t="shared" ref="J117" si="32">I117+1</f>
        <v>9</v>
      </c>
      <c r="K117" s="67">
        <f t="shared" ref="K117" si="33">J117+1</f>
        <v>10</v>
      </c>
      <c r="L117" s="67">
        <f t="shared" ref="L117" si="34">K117+1</f>
        <v>11</v>
      </c>
      <c r="M117" s="67">
        <f t="shared" ref="M117" si="35">L117+1</f>
        <v>12</v>
      </c>
      <c r="N117" s="67">
        <f t="shared" ref="N117" si="36">M117+1</f>
        <v>13</v>
      </c>
      <c r="O117" s="67">
        <f t="shared" ref="O117" si="37">N117+1</f>
        <v>14</v>
      </c>
      <c r="P117" s="67">
        <f t="shared" ref="P117" si="38">O117+1</f>
        <v>15</v>
      </c>
      <c r="Q117" s="67">
        <f t="shared" ref="Q117" si="39">P117+1</f>
        <v>16</v>
      </c>
      <c r="R117" s="67">
        <f t="shared" ref="R117" si="40">Q117+1</f>
        <v>17</v>
      </c>
      <c r="S117" s="67">
        <f t="shared" ref="S117" si="41">R117+1</f>
        <v>18</v>
      </c>
      <c r="T117" s="67">
        <f t="shared" ref="T117" si="42">S117+1</f>
        <v>19</v>
      </c>
      <c r="U117" s="67">
        <f t="shared" ref="U117" si="43">T117+1</f>
        <v>20</v>
      </c>
      <c r="V117" s="67">
        <f t="shared" ref="V117" si="44">U117+1</f>
        <v>21</v>
      </c>
      <c r="W117" s="67">
        <f t="shared" ref="W117" si="45">V117+1</f>
        <v>22</v>
      </c>
      <c r="X117" s="67">
        <f t="shared" ref="X117" si="46">W117+1</f>
        <v>23</v>
      </c>
      <c r="Y117" s="67">
        <f t="shared" ref="Y117" si="47">X117+1</f>
        <v>24</v>
      </c>
      <c r="Z117" s="130">
        <f t="shared" ref="Z117" si="48">Y117+1</f>
        <v>25</v>
      </c>
    </row>
    <row r="118" spans="1:26" x14ac:dyDescent="0.3">
      <c r="A118" s="32">
        <f>1</f>
        <v>1</v>
      </c>
      <c r="B118" s="33">
        <v>0.366764437067015</v>
      </c>
      <c r="C118" s="34">
        <v>5.6936153557802599E-2</v>
      </c>
      <c r="D118" s="34">
        <v>3.4429440165578101E-3</v>
      </c>
      <c r="E118" s="34">
        <v>1.0136938011790201E-2</v>
      </c>
      <c r="F118" s="34">
        <v>6.1847568492036896E-3</v>
      </c>
      <c r="G118" s="34">
        <v>0</v>
      </c>
      <c r="H118" s="34">
        <v>1.7175134639272002E-2</v>
      </c>
      <c r="I118" s="34">
        <v>5.0141643913594099E-3</v>
      </c>
      <c r="J118" s="34">
        <v>3.78155857829022E-2</v>
      </c>
      <c r="K118" s="34">
        <v>3.5500921793597498E-2</v>
      </c>
      <c r="L118" s="34">
        <v>3.3938254570127701E-3</v>
      </c>
      <c r="M118" s="34">
        <v>5.38787293918256E-3</v>
      </c>
      <c r="N118" s="34">
        <v>2.7798432323902201E-3</v>
      </c>
      <c r="O118" s="34">
        <v>5.0381707423904397E-3</v>
      </c>
      <c r="P118" s="34">
        <v>1.433003571615E-2</v>
      </c>
      <c r="Q118" s="34">
        <v>1.80520831719681E-2</v>
      </c>
      <c r="R118" s="34">
        <v>1.2001255766510699E-2</v>
      </c>
      <c r="S118" s="34">
        <v>5.6387895162083701E-4</v>
      </c>
      <c r="T118" s="34">
        <v>4.17798119185452E-3</v>
      </c>
      <c r="U118" s="34">
        <v>1.93280779894325E-3</v>
      </c>
      <c r="V118" s="34">
        <v>9.6009390723815202E-3</v>
      </c>
      <c r="W118" s="34">
        <v>6.8781522715970602E-3</v>
      </c>
      <c r="X118" s="34">
        <v>1.8393202038955399E-2</v>
      </c>
      <c r="Y118" s="34">
        <v>8.3612088645359101E-3</v>
      </c>
      <c r="Z118" s="35">
        <v>5.6125556400721203E-3</v>
      </c>
    </row>
    <row r="119" spans="1:26" ht="28.65" customHeight="1" x14ac:dyDescent="0.3">
      <c r="A119" s="27">
        <f>A118+1</f>
        <v>2</v>
      </c>
      <c r="B119" s="36">
        <v>1.04732142425419E-2</v>
      </c>
      <c r="C119" s="8">
        <v>0.32533491598964098</v>
      </c>
      <c r="D119" s="8">
        <v>1.1274200567743199E-3</v>
      </c>
      <c r="E119" s="8">
        <v>3.6428530507204501E-3</v>
      </c>
      <c r="F119" s="8">
        <v>1.1908302211003099E-2</v>
      </c>
      <c r="G119" s="8">
        <v>0</v>
      </c>
      <c r="H119" s="8">
        <v>6.8454588804570402E-3</v>
      </c>
      <c r="I119" s="8">
        <v>8.0281680797446796E-4</v>
      </c>
      <c r="J119" s="8">
        <v>2.91293409170361E-2</v>
      </c>
      <c r="K119" s="8">
        <v>1.09827113608068E-2</v>
      </c>
      <c r="L119" s="8">
        <v>1.1185089989074099E-2</v>
      </c>
      <c r="M119" s="8">
        <v>2.7317750252387999E-3</v>
      </c>
      <c r="N119" s="8">
        <v>1.28259747826954E-3</v>
      </c>
      <c r="O119" s="8">
        <v>4.3773198457663998E-3</v>
      </c>
      <c r="P119" s="8">
        <v>1.71678681885088E-3</v>
      </c>
      <c r="Q119" s="8">
        <v>9.0282009988773906E-3</v>
      </c>
      <c r="R119" s="8">
        <v>7.6668994737295899E-3</v>
      </c>
      <c r="S119" s="8">
        <v>4.9298127979361599E-4</v>
      </c>
      <c r="T119" s="8">
        <v>2.52991793737436E-3</v>
      </c>
      <c r="U119" s="8">
        <v>1.9467408261539601E-3</v>
      </c>
      <c r="V119" s="8">
        <v>3.1147483776872101E-3</v>
      </c>
      <c r="W119" s="8">
        <v>3.5739834279721601E-3</v>
      </c>
      <c r="X119" s="8">
        <v>1.0387486423615099E-2</v>
      </c>
      <c r="Y119" s="8">
        <v>6.4463070778641701E-3</v>
      </c>
      <c r="Z119" s="10">
        <v>4.7815925112398502E-3</v>
      </c>
    </row>
    <row r="120" spans="1:26" x14ac:dyDescent="0.3">
      <c r="A120" s="27">
        <f t="shared" ref="A120:A142" si="49">A119+1</f>
        <v>3</v>
      </c>
      <c r="B120" s="36">
        <v>7.6776030508270299E-3</v>
      </c>
      <c r="C120" s="8">
        <v>1.2133131516069633E-2</v>
      </c>
      <c r="D120" s="8">
        <v>0.27422393000315531</v>
      </c>
      <c r="E120" s="8">
        <v>3.0332085306540957E-2</v>
      </c>
      <c r="F120" s="8">
        <v>2.2949396101065566E-2</v>
      </c>
      <c r="G120" s="8">
        <v>0</v>
      </c>
      <c r="H120" s="8">
        <v>6.2295150733317163E-3</v>
      </c>
      <c r="I120" s="8">
        <v>0.48788544729734762</v>
      </c>
      <c r="J120" s="8">
        <v>2.151812821422007E-2</v>
      </c>
      <c r="K120" s="8">
        <v>7.4514227662945728E-2</v>
      </c>
      <c r="L120" s="8">
        <v>8.6285602561548668E-3</v>
      </c>
      <c r="M120" s="8">
        <v>0.19467839534498074</v>
      </c>
      <c r="N120" s="8">
        <v>5.9124646625187379E-3</v>
      </c>
      <c r="O120" s="8">
        <v>1.4901219364467359E-2</v>
      </c>
      <c r="P120" s="8">
        <v>1.4283934815617825E-2</v>
      </c>
      <c r="Q120" s="8">
        <v>2.4856818227861104E-2</v>
      </c>
      <c r="R120" s="8">
        <v>1.2847021078055935E-2</v>
      </c>
      <c r="S120" s="8">
        <v>0.3200746555379152</v>
      </c>
      <c r="T120" s="8">
        <v>9.1681971183032174E-2</v>
      </c>
      <c r="U120" s="8">
        <v>1.6495795849637514E-2</v>
      </c>
      <c r="V120" s="8">
        <v>7.7614645984900268E-2</v>
      </c>
      <c r="W120" s="8">
        <v>4.589161758488081E-3</v>
      </c>
      <c r="X120" s="8">
        <v>2.5585505951269591E-3</v>
      </c>
      <c r="Y120" s="8">
        <v>1.1170014344552514E-2</v>
      </c>
      <c r="Z120" s="10">
        <v>8.877625609386243E-3</v>
      </c>
    </row>
    <row r="121" spans="1:26" x14ac:dyDescent="0.3">
      <c r="A121" s="27">
        <f t="shared" si="49"/>
        <v>4</v>
      </c>
      <c r="B121" s="36">
        <v>1.43220520971863E-3</v>
      </c>
      <c r="C121" s="8">
        <v>1.4268957582058001E-3</v>
      </c>
      <c r="D121" s="8">
        <v>1.9578642921931101E-3</v>
      </c>
      <c r="E121" s="8">
        <v>6.4914503403267501E-2</v>
      </c>
      <c r="F121" s="8">
        <v>2.7359926129808199E-2</v>
      </c>
      <c r="G121" s="8">
        <v>0</v>
      </c>
      <c r="H121" s="8">
        <v>5.5086168479186398E-4</v>
      </c>
      <c r="I121" s="8">
        <v>3.45204015330406E-3</v>
      </c>
      <c r="J121" s="8">
        <v>1.46930932970751E-2</v>
      </c>
      <c r="K121" s="8">
        <v>1.34364995746756E-2</v>
      </c>
      <c r="L121" s="8">
        <v>4.0082774588121699E-3</v>
      </c>
      <c r="M121" s="8">
        <v>1.9221834512063701E-3</v>
      </c>
      <c r="N121" s="8">
        <v>1.74522103786469E-3</v>
      </c>
      <c r="O121" s="8">
        <v>6.4760180242956402E-3</v>
      </c>
      <c r="P121" s="8">
        <v>2.55245766891448E-3</v>
      </c>
      <c r="Q121" s="8">
        <v>2.6580861581568002E-3</v>
      </c>
      <c r="R121" s="8">
        <v>1.0069468126353299E-2</v>
      </c>
      <c r="S121" s="8">
        <v>8.0348899423680306E-5</v>
      </c>
      <c r="T121" s="8">
        <v>1.0652903788578499E-2</v>
      </c>
      <c r="U121" s="8">
        <v>3.3371316911224901E-3</v>
      </c>
      <c r="V121" s="8">
        <v>4.1413067272714799E-4</v>
      </c>
      <c r="W121" s="8">
        <v>3.8421553593666899E-4</v>
      </c>
      <c r="X121" s="8">
        <v>5.9443271960444297E-4</v>
      </c>
      <c r="Y121" s="8">
        <v>3.12235208334051E-3</v>
      </c>
      <c r="Z121" s="10">
        <v>1.4937170851287199E-3</v>
      </c>
    </row>
    <row r="122" spans="1:26" x14ac:dyDescent="0.3">
      <c r="A122" s="27">
        <f t="shared" si="49"/>
        <v>5</v>
      </c>
      <c r="B122" s="36">
        <v>1.01475217764049E-2</v>
      </c>
      <c r="C122" s="8">
        <v>3.9196032697089302E-2</v>
      </c>
      <c r="D122" s="8">
        <v>1.80121453218463E-2</v>
      </c>
      <c r="E122" s="8">
        <v>3.2964558147885299E-2</v>
      </c>
      <c r="F122" s="8">
        <v>0.20824782128307301</v>
      </c>
      <c r="G122" s="8">
        <v>0</v>
      </c>
      <c r="H122" s="8">
        <v>1.3723381839687699E-2</v>
      </c>
      <c r="I122" s="8">
        <v>8.07734178908108E-3</v>
      </c>
      <c r="J122" s="8">
        <v>7.8244868195230896E-2</v>
      </c>
      <c r="K122" s="8">
        <v>2.3383465843341202E-2</v>
      </c>
      <c r="L122" s="8">
        <v>0.103790955887217</v>
      </c>
      <c r="M122" s="8">
        <v>2.8739885738178199E-2</v>
      </c>
      <c r="N122" s="8">
        <v>4.0069082549776203E-2</v>
      </c>
      <c r="O122" s="8">
        <v>3.77958483200901E-2</v>
      </c>
      <c r="P122" s="8">
        <v>2.94677155712629E-2</v>
      </c>
      <c r="Q122" s="8">
        <v>5.6097606382478099E-2</v>
      </c>
      <c r="R122" s="8">
        <v>5.1733170223390003E-2</v>
      </c>
      <c r="S122" s="8">
        <v>2.4652455728991499E-2</v>
      </c>
      <c r="T122" s="8">
        <v>2.6187940076536801E-2</v>
      </c>
      <c r="U122" s="8">
        <v>3.6790206094792603E-2</v>
      </c>
      <c r="V122" s="8">
        <v>6.3422188079354297E-3</v>
      </c>
      <c r="W122" s="8">
        <v>1.16014832965618E-2</v>
      </c>
      <c r="X122" s="8">
        <v>1.2625299393220799E-2</v>
      </c>
      <c r="Y122" s="8">
        <v>4.9311057453861599E-2</v>
      </c>
      <c r="Z122" s="10">
        <v>2.8965603231233299E-2</v>
      </c>
    </row>
    <row r="123" spans="1:26" x14ac:dyDescent="0.3">
      <c r="A123" s="27">
        <f t="shared" si="49"/>
        <v>6</v>
      </c>
      <c r="B123" s="36">
        <v>0</v>
      </c>
      <c r="C123" s="8">
        <v>0</v>
      </c>
      <c r="D123" s="8">
        <v>0</v>
      </c>
      <c r="E123" s="8">
        <v>0</v>
      </c>
      <c r="F123" s="8">
        <v>0</v>
      </c>
      <c r="G123" s="8">
        <v>0</v>
      </c>
      <c r="H123" s="8">
        <v>0</v>
      </c>
      <c r="I123" s="8">
        <v>0</v>
      </c>
      <c r="J123" s="8">
        <v>0</v>
      </c>
      <c r="K123" s="8">
        <v>0</v>
      </c>
      <c r="L123" s="8">
        <v>0</v>
      </c>
      <c r="M123" s="8">
        <v>0</v>
      </c>
      <c r="N123" s="8">
        <v>0</v>
      </c>
      <c r="O123" s="8">
        <v>0</v>
      </c>
      <c r="P123" s="8">
        <v>0</v>
      </c>
      <c r="Q123" s="8">
        <v>0</v>
      </c>
      <c r="R123" s="8">
        <v>0</v>
      </c>
      <c r="S123" s="8">
        <v>0</v>
      </c>
      <c r="T123" s="8">
        <v>0</v>
      </c>
      <c r="U123" s="8">
        <v>0</v>
      </c>
      <c r="V123" s="8">
        <v>0</v>
      </c>
      <c r="W123" s="8">
        <v>0</v>
      </c>
      <c r="X123" s="8">
        <v>0</v>
      </c>
      <c r="Y123" s="8">
        <v>0</v>
      </c>
      <c r="Z123" s="10">
        <v>0</v>
      </c>
    </row>
    <row r="124" spans="1:26" x14ac:dyDescent="0.3">
      <c r="A124" s="27">
        <f t="shared" si="49"/>
        <v>7</v>
      </c>
      <c r="B124" s="36">
        <v>0.16028201364348199</v>
      </c>
      <c r="C124" s="8">
        <v>0.140644419374166</v>
      </c>
      <c r="D124" s="8">
        <v>0.133159876791589</v>
      </c>
      <c r="E124" s="8">
        <v>0.20167080261919701</v>
      </c>
      <c r="F124" s="8">
        <v>0.15957594232281</v>
      </c>
      <c r="G124" s="8">
        <v>0</v>
      </c>
      <c r="H124" s="8">
        <v>0.26467017986959102</v>
      </c>
      <c r="I124" s="8">
        <v>0.10044933067508401</v>
      </c>
      <c r="J124" s="8">
        <v>0.15926042391827899</v>
      </c>
      <c r="K124" s="8">
        <v>0.230728190637638</v>
      </c>
      <c r="L124" s="8">
        <v>0.16022238810464001</v>
      </c>
      <c r="M124" s="8">
        <v>0.24301457608676899</v>
      </c>
      <c r="N124" s="8">
        <v>0.21416240297202499</v>
      </c>
      <c r="O124" s="8">
        <v>0.183788236880644</v>
      </c>
      <c r="P124" s="8">
        <v>0.19625113009974501</v>
      </c>
      <c r="Q124" s="8">
        <v>0.33320243306493302</v>
      </c>
      <c r="R124" s="8">
        <v>0.20513075044843501</v>
      </c>
      <c r="S124" s="8">
        <v>0.11613295566873</v>
      </c>
      <c r="T124" s="8">
        <v>0.24801022780197499</v>
      </c>
      <c r="U124" s="8">
        <v>0.223624391691672</v>
      </c>
      <c r="V124" s="8">
        <v>0.25064135522724201</v>
      </c>
      <c r="W124" s="8">
        <v>0.171990752192026</v>
      </c>
      <c r="X124" s="8">
        <v>0.21865320442542799</v>
      </c>
      <c r="Y124" s="8">
        <v>0.19583313106608799</v>
      </c>
      <c r="Z124" s="10">
        <v>0.27314692113524902</v>
      </c>
    </row>
    <row r="125" spans="1:26" x14ac:dyDescent="0.3">
      <c r="A125" s="27">
        <f t="shared" si="49"/>
        <v>8</v>
      </c>
      <c r="B125" s="36">
        <v>1.20665402501972E-4</v>
      </c>
      <c r="C125" s="8">
        <v>3.89970267581099E-4</v>
      </c>
      <c r="D125" s="8">
        <v>1.5024882946155199E-2</v>
      </c>
      <c r="E125" s="8">
        <v>9.3582984736613299E-4</v>
      </c>
      <c r="F125" s="8">
        <v>2.71377689996667E-3</v>
      </c>
      <c r="G125" s="8">
        <v>0</v>
      </c>
      <c r="H125" s="8">
        <v>2.5572560842445599E-4</v>
      </c>
      <c r="I125" s="8">
        <v>2.7467514807638298E-2</v>
      </c>
      <c r="J125" s="8">
        <v>2.4871275540200102E-2</v>
      </c>
      <c r="K125" s="8">
        <v>1.35677787473531E-2</v>
      </c>
      <c r="L125" s="8">
        <v>2.2029266896525499E-4</v>
      </c>
      <c r="M125" s="8">
        <v>3.2435625601778999E-3</v>
      </c>
      <c r="N125" s="8">
        <v>5.2643000887705701E-4</v>
      </c>
      <c r="O125" s="8">
        <v>1.16495964150459E-3</v>
      </c>
      <c r="P125" s="8">
        <v>1.00457590099743E-3</v>
      </c>
      <c r="Q125" s="8">
        <v>1.5265805575712999E-3</v>
      </c>
      <c r="R125" s="8">
        <v>1.39870140444915E-3</v>
      </c>
      <c r="S125" s="8">
        <v>1.52062888807179E-2</v>
      </c>
      <c r="T125" s="8">
        <v>3.8355862322307999E-3</v>
      </c>
      <c r="U125" s="8">
        <v>1.8919152914122701E-3</v>
      </c>
      <c r="V125" s="8">
        <v>7.4102038255214097E-3</v>
      </c>
      <c r="W125" s="8">
        <v>3.98486775168565E-4</v>
      </c>
      <c r="X125" s="8">
        <v>1.2972169023967001E-4</v>
      </c>
      <c r="Y125" s="8">
        <v>8.0553879571171696E-4</v>
      </c>
      <c r="Z125" s="10">
        <v>9.7661399382555189E-4</v>
      </c>
    </row>
    <row r="126" spans="1:26" x14ac:dyDescent="0.3">
      <c r="A126" s="27">
        <f t="shared" si="49"/>
        <v>9</v>
      </c>
      <c r="B126" s="36">
        <v>2.9542517471875598E-2</v>
      </c>
      <c r="C126" s="8">
        <v>5.8390700397720499E-2</v>
      </c>
      <c r="D126" s="8">
        <v>1.7043331891018601E-2</v>
      </c>
      <c r="E126" s="8">
        <v>2.2643414922966201E-2</v>
      </c>
      <c r="F126" s="8">
        <v>3.3583888739082197E-2</v>
      </c>
      <c r="G126" s="8">
        <v>0</v>
      </c>
      <c r="H126" s="8">
        <v>7.8740211621395398E-3</v>
      </c>
      <c r="I126" s="8">
        <v>2.4962355987093E-2</v>
      </c>
      <c r="J126" s="8">
        <v>0.28658766313544498</v>
      </c>
      <c r="K126" s="8">
        <v>0.16469841466502599</v>
      </c>
      <c r="L126" s="8">
        <v>3.8876422715385703E-2</v>
      </c>
      <c r="M126" s="8">
        <v>6.2472320034362297E-3</v>
      </c>
      <c r="N126" s="8">
        <v>2.7572583806540801E-3</v>
      </c>
      <c r="O126" s="8">
        <v>4.2028040485470701E-3</v>
      </c>
      <c r="P126" s="8">
        <v>5.3679115155426298E-3</v>
      </c>
      <c r="Q126" s="8">
        <v>8.5210321048727004E-3</v>
      </c>
      <c r="R126" s="8">
        <v>8.4214188067408095E-3</v>
      </c>
      <c r="S126" s="8">
        <v>1.7348901432181201E-3</v>
      </c>
      <c r="T126" s="8">
        <v>4.4240285646965699E-3</v>
      </c>
      <c r="U126" s="8">
        <v>3.7540117061461403E-2</v>
      </c>
      <c r="V126" s="8">
        <v>5.6921309836203303E-3</v>
      </c>
      <c r="W126" s="8">
        <v>3.4032556524914602E-3</v>
      </c>
      <c r="X126" s="8">
        <v>7.9044607078611995E-2</v>
      </c>
      <c r="Y126" s="8">
        <v>1.4169102128574E-2</v>
      </c>
      <c r="Z126" s="10">
        <v>8.1007425762811298E-3</v>
      </c>
    </row>
    <row r="127" spans="1:26" ht="28.65" customHeight="1" x14ac:dyDescent="0.3">
      <c r="A127" s="27">
        <f t="shared" si="49"/>
        <v>10</v>
      </c>
      <c r="B127" s="36">
        <v>6.2552321909688108E-5</v>
      </c>
      <c r="C127" s="8">
        <v>5.4079375000699711E-5</v>
      </c>
      <c r="D127" s="8">
        <v>1.500235566459583E-4</v>
      </c>
      <c r="E127" s="8">
        <v>2.3020092259896807E-4</v>
      </c>
      <c r="F127" s="8">
        <v>7.6980233515057115E-5</v>
      </c>
      <c r="G127" s="8">
        <v>0</v>
      </c>
      <c r="H127" s="8">
        <v>8.3202586741517155E-5</v>
      </c>
      <c r="I127" s="8">
        <v>6.4518446815725811E-5</v>
      </c>
      <c r="J127" s="8">
        <v>3.8015345025955408E-4</v>
      </c>
      <c r="K127" s="8">
        <v>2.4709963665685633E-4</v>
      </c>
      <c r="L127" s="8">
        <v>4.2534402263018661E-5</v>
      </c>
      <c r="M127" s="8">
        <v>1.730600540261983E-3</v>
      </c>
      <c r="N127" s="8">
        <v>1.2261955422450891E-3</v>
      </c>
      <c r="O127" s="8">
        <v>5.0334165230689104E-4</v>
      </c>
      <c r="P127" s="8">
        <v>2.0352577056439326E-3</v>
      </c>
      <c r="Q127" s="8">
        <v>7.6120176017185157E-3</v>
      </c>
      <c r="R127" s="8">
        <v>1.8181832773887371E-3</v>
      </c>
      <c r="S127" s="8">
        <v>1.1405872162398515E-5</v>
      </c>
      <c r="T127" s="8">
        <v>6.625258130211788E-5</v>
      </c>
      <c r="U127" s="8">
        <v>3.0803466773658472E-4</v>
      </c>
      <c r="V127" s="8">
        <v>4.5819808811725573E-4</v>
      </c>
      <c r="W127" s="8">
        <v>5.9766952897608472E-5</v>
      </c>
      <c r="X127" s="8">
        <v>4.1143607040982662E-5</v>
      </c>
      <c r="Y127" s="8">
        <v>1.4405089007121216E-4</v>
      </c>
      <c r="Z127" s="10">
        <v>1.3527805983679721E-4</v>
      </c>
    </row>
    <row r="128" spans="1:26" x14ac:dyDescent="0.3">
      <c r="A128" s="27">
        <f t="shared" si="49"/>
        <v>11</v>
      </c>
      <c r="B128" s="36">
        <v>1.4484177093716501E-2</v>
      </c>
      <c r="C128" s="8">
        <v>2.5603862569102302E-2</v>
      </c>
      <c r="D128" s="8">
        <v>2.7720864708768202E-2</v>
      </c>
      <c r="E128" s="8">
        <v>6.2984282932331201E-2</v>
      </c>
      <c r="F128" s="8">
        <v>0.121995476180876</v>
      </c>
      <c r="G128" s="8">
        <v>0</v>
      </c>
      <c r="H128" s="8">
        <v>2.2884664348122599E-2</v>
      </c>
      <c r="I128" s="8">
        <v>1.6353183690639199E-2</v>
      </c>
      <c r="J128" s="8">
        <v>4.3304041925318199E-2</v>
      </c>
      <c r="K128" s="8">
        <v>4.2805069711458803E-2</v>
      </c>
      <c r="L128" s="8">
        <v>0.33491679370945199</v>
      </c>
      <c r="M128" s="8">
        <v>6.6553674485956102E-2</v>
      </c>
      <c r="N128" s="8">
        <v>2.8775742312845701E-2</v>
      </c>
      <c r="O128" s="8">
        <v>4.13700352637658E-2</v>
      </c>
      <c r="P128" s="8">
        <v>2.4184126210035201E-2</v>
      </c>
      <c r="Q128" s="8">
        <v>4.3423477728635099E-2</v>
      </c>
      <c r="R128" s="8">
        <v>2.1268709155750701E-2</v>
      </c>
      <c r="S128" s="8">
        <v>6.7082702050553396E-3</v>
      </c>
      <c r="T128" s="8">
        <v>1.38998602410568E-2</v>
      </c>
      <c r="U128" s="8">
        <v>2.1620419428628E-2</v>
      </c>
      <c r="V128" s="8">
        <v>3.64865184906734E-2</v>
      </c>
      <c r="W128" s="8">
        <v>1.7261211716239101E-2</v>
      </c>
      <c r="X128" s="8">
        <v>3.0634544876883101E-2</v>
      </c>
      <c r="Y128" s="8">
        <v>6.0127035812062302E-2</v>
      </c>
      <c r="Z128" s="10">
        <v>4.8210825376972098E-2</v>
      </c>
    </row>
    <row r="129" spans="1:26" x14ac:dyDescent="0.3">
      <c r="A129" s="27">
        <f t="shared" si="49"/>
        <v>12</v>
      </c>
      <c r="B129" s="36">
        <v>4.897880881817124E-3</v>
      </c>
      <c r="C129" s="8">
        <v>4.9486216508551392E-3</v>
      </c>
      <c r="D129" s="8">
        <v>6.4484221186727536E-3</v>
      </c>
      <c r="E129" s="8">
        <v>2.3074699354745404E-2</v>
      </c>
      <c r="F129" s="8">
        <v>4.5333741558278842E-3</v>
      </c>
      <c r="G129" s="8">
        <v>0</v>
      </c>
      <c r="H129" s="8">
        <v>4.1211713317776122E-3</v>
      </c>
      <c r="I129" s="8">
        <v>7.2508956812205394E-3</v>
      </c>
      <c r="J129" s="8">
        <v>3.9897836929169827E-3</v>
      </c>
      <c r="K129" s="8">
        <v>5.748842871550976E-3</v>
      </c>
      <c r="L129" s="8">
        <v>5.0470296631970344E-3</v>
      </c>
      <c r="M129" s="8">
        <v>6.750916004313331E-3</v>
      </c>
      <c r="N129" s="8">
        <v>1.0666255190895427E-2</v>
      </c>
      <c r="O129" s="8">
        <v>2.3747219930910152E-4</v>
      </c>
      <c r="P129" s="8">
        <v>6.6447766328665619E-4</v>
      </c>
      <c r="Q129" s="8">
        <v>1.0492262754607419E-2</v>
      </c>
      <c r="R129" s="8">
        <v>3.6336391723039803E-3</v>
      </c>
      <c r="S129" s="8">
        <v>4.1904301599089613E-4</v>
      </c>
      <c r="T129" s="8">
        <v>2.7005192571285899E-3</v>
      </c>
      <c r="U129" s="8">
        <v>2.7767290193643139E-3</v>
      </c>
      <c r="V129" s="8">
        <v>2.0188110900411218E-3</v>
      </c>
      <c r="W129" s="8">
        <v>3.4064763376855942E-3</v>
      </c>
      <c r="X129" s="8">
        <v>2.6869553503423059E-3</v>
      </c>
      <c r="Y129" s="8">
        <v>6.0320741390301573E-3</v>
      </c>
      <c r="Z129" s="10">
        <v>2.4971590490721592E-3</v>
      </c>
    </row>
    <row r="130" spans="1:26" x14ac:dyDescent="0.3">
      <c r="A130" s="27">
        <f t="shared" si="49"/>
        <v>13</v>
      </c>
      <c r="B130" s="36">
        <v>7.2475728059304405E-4</v>
      </c>
      <c r="C130" s="8">
        <v>9.6068719232668615E-4</v>
      </c>
      <c r="D130" s="8">
        <v>5.9292667400152681E-4</v>
      </c>
      <c r="E130" s="8">
        <v>1.1006869298622862E-3</v>
      </c>
      <c r="F130" s="8">
        <v>9.4284007978571451E-4</v>
      </c>
      <c r="G130" s="8">
        <v>0</v>
      </c>
      <c r="H130" s="8">
        <v>7.6632736581360534E-4</v>
      </c>
      <c r="I130" s="8">
        <v>7.4101330317281043E-4</v>
      </c>
      <c r="J130" s="8">
        <v>1.445584267733963E-3</v>
      </c>
      <c r="K130" s="8">
        <v>1.678863385395223E-3</v>
      </c>
      <c r="L130" s="8">
        <v>7.3413581812583695E-4</v>
      </c>
      <c r="M130" s="8">
        <v>6.9982204993517226E-3</v>
      </c>
      <c r="N130" s="8">
        <v>1.3415950563437052E-2</v>
      </c>
      <c r="O130" s="8">
        <v>7.6072518533005717E-5</v>
      </c>
      <c r="P130" s="8">
        <v>1.3847092915039106E-4</v>
      </c>
      <c r="Q130" s="8">
        <v>1.3099882796952058E-2</v>
      </c>
      <c r="R130" s="8">
        <v>8.4563224873637083E-4</v>
      </c>
      <c r="S130" s="8">
        <v>1.3453705100497737E-4</v>
      </c>
      <c r="T130" s="8">
        <v>1.8164969550237573E-4</v>
      </c>
      <c r="U130" s="8">
        <v>1.3313195387449869E-3</v>
      </c>
      <c r="V130" s="8">
        <v>4.690245695334174E-4</v>
      </c>
      <c r="W130" s="8">
        <v>8.9456135264727422E-4</v>
      </c>
      <c r="X130" s="8">
        <v>5.9578702385187975E-4</v>
      </c>
      <c r="Y130" s="8">
        <v>1.5907072871050789E-3</v>
      </c>
      <c r="Z130" s="10">
        <v>8.1754733659005375E-4</v>
      </c>
    </row>
    <row r="131" spans="1:26" ht="28.65" customHeight="1" x14ac:dyDescent="0.3">
      <c r="A131" s="27">
        <f t="shared" si="49"/>
        <v>14</v>
      </c>
      <c r="B131" s="36">
        <v>1.166907854968175E-3</v>
      </c>
      <c r="C131" s="8">
        <v>1.5772924341860904E-3</v>
      </c>
      <c r="D131" s="8">
        <v>1.6845194069693504E-3</v>
      </c>
      <c r="E131" s="8">
        <v>5.7428082047499803E-3</v>
      </c>
      <c r="F131" s="8">
        <v>1.003393710219163E-3</v>
      </c>
      <c r="G131" s="8">
        <v>0</v>
      </c>
      <c r="H131" s="8">
        <v>8.6125619478170782E-4</v>
      </c>
      <c r="I131" s="8">
        <v>1.2805682879247432E-3</v>
      </c>
      <c r="J131" s="8">
        <v>1.7491029622206165E-3</v>
      </c>
      <c r="K131" s="8">
        <v>3.639561952192589E-3</v>
      </c>
      <c r="L131" s="8">
        <v>9.857693115354275E-4</v>
      </c>
      <c r="M131" s="8">
        <v>3.2263809692605272E-4</v>
      </c>
      <c r="N131" s="8">
        <v>3.2461656572651756E-4</v>
      </c>
      <c r="O131" s="8">
        <v>2.2562355885425537E-4</v>
      </c>
      <c r="P131" s="8">
        <v>1.9434094478938961E-4</v>
      </c>
      <c r="Q131" s="8">
        <v>5.2178244056520285E-4</v>
      </c>
      <c r="R131" s="8">
        <v>9.7356160474642119E-4</v>
      </c>
      <c r="S131" s="8">
        <v>7.8784606708700935E-5</v>
      </c>
      <c r="T131" s="8">
        <v>9.7283266000316255E-4</v>
      </c>
      <c r="U131" s="8">
        <v>2.1128833202598956E-4</v>
      </c>
      <c r="V131" s="8">
        <v>4.6367211696437128E-4</v>
      </c>
      <c r="W131" s="8">
        <v>5.7608516081229582E-4</v>
      </c>
      <c r="X131" s="8">
        <v>4.7428465088641985E-4</v>
      </c>
      <c r="Y131" s="8">
        <v>1.6473433785551088E-3</v>
      </c>
      <c r="Z131" s="10">
        <v>9.133579070018798E-4</v>
      </c>
    </row>
    <row r="132" spans="1:26" x14ac:dyDescent="0.3">
      <c r="A132" s="27">
        <f t="shared" si="49"/>
        <v>15</v>
      </c>
      <c r="B132" s="36">
        <v>1.6290918562726625E-4</v>
      </c>
      <c r="C132" s="8">
        <v>1.6582441376651182E-4</v>
      </c>
      <c r="D132" s="8">
        <v>5.3104190275738447E-4</v>
      </c>
      <c r="E132" s="8">
        <v>4.6699512054044313E-4</v>
      </c>
      <c r="F132" s="8">
        <v>1.7405767449942106E-4</v>
      </c>
      <c r="G132" s="8">
        <v>0</v>
      </c>
      <c r="H132" s="8">
        <v>1.1197672891012951E-4</v>
      </c>
      <c r="I132" s="8">
        <v>8.4787597120577953E-4</v>
      </c>
      <c r="J132" s="8">
        <v>2.3387828534907165E-4</v>
      </c>
      <c r="K132" s="8">
        <v>4.3550676067781214E-4</v>
      </c>
      <c r="L132" s="8">
        <v>1.0880768037776508E-4</v>
      </c>
      <c r="M132" s="8">
        <v>4.3512321039721488E-4</v>
      </c>
      <c r="N132" s="8">
        <v>1.2666090373103552E-4</v>
      </c>
      <c r="O132" s="8">
        <v>7.1646021770433016E-5</v>
      </c>
      <c r="P132" s="8">
        <v>1.3765169879133635E-4</v>
      </c>
      <c r="Q132" s="8">
        <v>4.6213417818917246E-4</v>
      </c>
      <c r="R132" s="8">
        <v>2.4834536947175481E-4</v>
      </c>
      <c r="S132" s="8">
        <v>5.8833812116492606E-4</v>
      </c>
      <c r="T132" s="8">
        <v>1.9944770574842455E-4</v>
      </c>
      <c r="U132" s="8">
        <v>5.7135769835449106E-5</v>
      </c>
      <c r="V132" s="8">
        <v>2.0275423491424813E-4</v>
      </c>
      <c r="W132" s="8">
        <v>8.3513821255457897E-5</v>
      </c>
      <c r="X132" s="8">
        <v>6.0540647760723789E-5</v>
      </c>
      <c r="Y132" s="8">
        <v>1.3314581871253094E-4</v>
      </c>
      <c r="Z132" s="10">
        <v>1.85132972045749E-4</v>
      </c>
    </row>
    <row r="133" spans="1:26" x14ac:dyDescent="0.3">
      <c r="A133" s="27">
        <f t="shared" si="49"/>
        <v>16</v>
      </c>
      <c r="B133" s="36">
        <v>0</v>
      </c>
      <c r="C133" s="8">
        <v>0</v>
      </c>
      <c r="D133" s="8">
        <v>0</v>
      </c>
      <c r="E133" s="8">
        <v>0</v>
      </c>
      <c r="F133" s="8">
        <v>0</v>
      </c>
      <c r="G133" s="8">
        <v>0</v>
      </c>
      <c r="H133" s="8">
        <v>0</v>
      </c>
      <c r="I133" s="8">
        <v>0</v>
      </c>
      <c r="J133" s="8">
        <v>0</v>
      </c>
      <c r="K133" s="8">
        <v>0</v>
      </c>
      <c r="L133" s="8">
        <v>0</v>
      </c>
      <c r="M133" s="8">
        <v>0</v>
      </c>
      <c r="N133" s="8">
        <v>0</v>
      </c>
      <c r="O133" s="8">
        <v>0</v>
      </c>
      <c r="P133" s="8">
        <v>0</v>
      </c>
      <c r="Q133" s="8">
        <v>0</v>
      </c>
      <c r="R133" s="8">
        <v>0</v>
      </c>
      <c r="S133" s="8">
        <v>0</v>
      </c>
      <c r="T133" s="8">
        <v>0</v>
      </c>
      <c r="U133" s="8">
        <v>0</v>
      </c>
      <c r="V133" s="8">
        <v>0</v>
      </c>
      <c r="W133" s="8">
        <v>0</v>
      </c>
      <c r="X133" s="8">
        <v>0</v>
      </c>
      <c r="Y133" s="8">
        <v>0</v>
      </c>
      <c r="Z133" s="10">
        <v>0</v>
      </c>
    </row>
    <row r="134" spans="1:26" x14ac:dyDescent="0.3">
      <c r="A134" s="27">
        <f t="shared" si="49"/>
        <v>17</v>
      </c>
      <c r="B134" s="36">
        <v>3.2197716589626311E-5</v>
      </c>
      <c r="C134" s="8">
        <v>3.6359957704384637E-5</v>
      </c>
      <c r="D134" s="8">
        <v>1.1459106368813529E-4</v>
      </c>
      <c r="E134" s="8">
        <v>9.6594685897045612E-5</v>
      </c>
      <c r="F134" s="8">
        <v>3.3700275368701494E-5</v>
      </c>
      <c r="G134" s="8">
        <v>0</v>
      </c>
      <c r="H134" s="8">
        <v>1.9548680697258461E-5</v>
      </c>
      <c r="I134" s="8">
        <v>1.8463624769191557E-4</v>
      </c>
      <c r="J134" s="8">
        <v>8.5239203512345608E-5</v>
      </c>
      <c r="K134" s="8">
        <v>1.0245291505875537E-4</v>
      </c>
      <c r="L134" s="8">
        <v>2.4088733749061195E-5</v>
      </c>
      <c r="M134" s="8">
        <v>9.9074159289508565E-5</v>
      </c>
      <c r="N134" s="8">
        <v>4.5455300814562852E-5</v>
      </c>
      <c r="O134" s="8">
        <v>1.7688770823942836E-5</v>
      </c>
      <c r="P134" s="8">
        <v>3.0361833407321629E-5</v>
      </c>
      <c r="Q134" s="8">
        <v>1.1855183632179659E-4</v>
      </c>
      <c r="R134" s="8">
        <v>6.2839615038877926E-5</v>
      </c>
      <c r="S134" s="8">
        <v>1.2832052283956411E-4</v>
      </c>
      <c r="T134" s="8">
        <v>4.2330192532608003E-5</v>
      </c>
      <c r="U134" s="8">
        <v>1.6651867995260612E-5</v>
      </c>
      <c r="V134" s="8">
        <v>4.498513096135344E-5</v>
      </c>
      <c r="W134" s="8">
        <v>3.3355899981432648E-5</v>
      </c>
      <c r="X134" s="8">
        <v>1.6370994567464658E-5</v>
      </c>
      <c r="Y134" s="8">
        <v>3.9124946398967719E-5</v>
      </c>
      <c r="Z134" s="10">
        <v>6.146907855894123E-5</v>
      </c>
    </row>
    <row r="135" spans="1:26" ht="28.65" customHeight="1" x14ac:dyDescent="0.3">
      <c r="A135" s="27">
        <f t="shared" si="49"/>
        <v>18</v>
      </c>
      <c r="B135" s="36">
        <v>0</v>
      </c>
      <c r="C135" s="8">
        <v>0</v>
      </c>
      <c r="D135" s="8">
        <v>0</v>
      </c>
      <c r="E135" s="8">
        <v>0</v>
      </c>
      <c r="F135" s="8">
        <v>0</v>
      </c>
      <c r="G135" s="8">
        <v>0</v>
      </c>
      <c r="H135" s="8">
        <v>0</v>
      </c>
      <c r="I135" s="8">
        <v>0</v>
      </c>
      <c r="J135" s="8">
        <v>0</v>
      </c>
      <c r="K135" s="8">
        <v>0</v>
      </c>
      <c r="L135" s="8">
        <v>0</v>
      </c>
      <c r="M135" s="8">
        <v>0</v>
      </c>
      <c r="N135" s="8">
        <v>0</v>
      </c>
      <c r="O135" s="8">
        <v>0</v>
      </c>
      <c r="P135" s="8">
        <v>0</v>
      </c>
      <c r="Q135" s="8">
        <v>0</v>
      </c>
      <c r="R135" s="8">
        <v>0</v>
      </c>
      <c r="S135" s="8">
        <v>0</v>
      </c>
      <c r="T135" s="8">
        <v>0</v>
      </c>
      <c r="U135" s="8">
        <v>0</v>
      </c>
      <c r="V135" s="8">
        <v>0</v>
      </c>
      <c r="W135" s="8">
        <v>0</v>
      </c>
      <c r="X135" s="8">
        <v>0</v>
      </c>
      <c r="Y135" s="8">
        <v>0</v>
      </c>
      <c r="Z135" s="10">
        <v>0</v>
      </c>
    </row>
    <row r="136" spans="1:26" x14ac:dyDescent="0.3">
      <c r="A136" s="27">
        <f t="shared" si="49"/>
        <v>19</v>
      </c>
      <c r="B136" s="36">
        <v>0</v>
      </c>
      <c r="C136" s="8">
        <v>0</v>
      </c>
      <c r="D136" s="8">
        <v>0</v>
      </c>
      <c r="E136" s="8">
        <v>0</v>
      </c>
      <c r="F136" s="8">
        <v>0</v>
      </c>
      <c r="G136" s="8">
        <v>0</v>
      </c>
      <c r="H136" s="8">
        <v>0</v>
      </c>
      <c r="I136" s="8">
        <v>0</v>
      </c>
      <c r="J136" s="8">
        <v>0</v>
      </c>
      <c r="K136" s="8">
        <v>0</v>
      </c>
      <c r="L136" s="8">
        <v>0</v>
      </c>
      <c r="M136" s="8">
        <v>0</v>
      </c>
      <c r="N136" s="8">
        <v>0</v>
      </c>
      <c r="O136" s="8">
        <v>0</v>
      </c>
      <c r="P136" s="8">
        <v>0</v>
      </c>
      <c r="Q136" s="8">
        <v>0</v>
      </c>
      <c r="R136" s="8">
        <v>0</v>
      </c>
      <c r="S136" s="8">
        <v>0</v>
      </c>
      <c r="T136" s="8">
        <v>0</v>
      </c>
      <c r="U136" s="8">
        <v>0</v>
      </c>
      <c r="V136" s="8">
        <v>0</v>
      </c>
      <c r="W136" s="8">
        <v>0</v>
      </c>
      <c r="X136" s="8">
        <v>0</v>
      </c>
      <c r="Y136" s="8">
        <v>0</v>
      </c>
      <c r="Z136" s="10">
        <v>0</v>
      </c>
    </row>
    <row r="137" spans="1:26" ht="28.65" customHeight="1" x14ac:dyDescent="0.3">
      <c r="A137" s="27">
        <f t="shared" si="49"/>
        <v>20</v>
      </c>
      <c r="B137" s="36">
        <v>0</v>
      </c>
      <c r="C137" s="8">
        <v>0</v>
      </c>
      <c r="D137" s="8">
        <v>0</v>
      </c>
      <c r="E137" s="8">
        <v>0</v>
      </c>
      <c r="F137" s="8">
        <v>0</v>
      </c>
      <c r="G137" s="8">
        <v>0</v>
      </c>
      <c r="H137" s="8">
        <v>0</v>
      </c>
      <c r="I137" s="8">
        <v>0</v>
      </c>
      <c r="J137" s="8">
        <v>0</v>
      </c>
      <c r="K137" s="8">
        <v>0</v>
      </c>
      <c r="L137" s="8">
        <v>0</v>
      </c>
      <c r="M137" s="8">
        <v>0</v>
      </c>
      <c r="N137" s="8">
        <v>0</v>
      </c>
      <c r="O137" s="8">
        <v>0</v>
      </c>
      <c r="P137" s="8">
        <v>0</v>
      </c>
      <c r="Q137" s="8">
        <v>0</v>
      </c>
      <c r="R137" s="8">
        <v>0</v>
      </c>
      <c r="S137" s="8">
        <v>0</v>
      </c>
      <c r="T137" s="8">
        <v>0</v>
      </c>
      <c r="U137" s="8">
        <v>0</v>
      </c>
      <c r="V137" s="8">
        <v>0</v>
      </c>
      <c r="W137" s="8">
        <v>0</v>
      </c>
      <c r="X137" s="8">
        <v>0</v>
      </c>
      <c r="Y137" s="8">
        <v>0</v>
      </c>
      <c r="Z137" s="10">
        <v>0</v>
      </c>
    </row>
    <row r="138" spans="1:26" x14ac:dyDescent="0.3">
      <c r="A138" s="27">
        <f t="shared" si="49"/>
        <v>21</v>
      </c>
      <c r="B138" s="36">
        <v>2.22091646926935E-2</v>
      </c>
      <c r="C138" s="8">
        <v>1.9141422326554299E-2</v>
      </c>
      <c r="D138" s="8">
        <v>2.0247649677415901E-2</v>
      </c>
      <c r="E138" s="8">
        <v>4.6872132726848002E-2</v>
      </c>
      <c r="F138" s="8">
        <v>2.9922517160498499E-2</v>
      </c>
      <c r="G138" s="8">
        <v>0</v>
      </c>
      <c r="H138" s="8">
        <v>2.03378861984044E-2</v>
      </c>
      <c r="I138" s="8">
        <v>1.42286015326123E-2</v>
      </c>
      <c r="J138" s="8">
        <v>1.52895197882425E-2</v>
      </c>
      <c r="K138" s="8">
        <v>3.1988800569947601E-2</v>
      </c>
      <c r="L138" s="8">
        <v>1.6782679150205801E-2</v>
      </c>
      <c r="M138" s="8">
        <v>2.8496385389400199E-2</v>
      </c>
      <c r="N138" s="8">
        <v>1.21743853468408E-2</v>
      </c>
      <c r="O138" s="8">
        <v>1.1860851130276E-2</v>
      </c>
      <c r="P138" s="8">
        <v>2.4799956058600098E-2</v>
      </c>
      <c r="Q138" s="8">
        <v>3.9300428998772403E-2</v>
      </c>
      <c r="R138" s="8">
        <v>2.5392930060305099E-2</v>
      </c>
      <c r="S138" s="8">
        <v>3.6822023518479997E-2</v>
      </c>
      <c r="T138" s="8">
        <v>4.6184851090420302E-2</v>
      </c>
      <c r="U138" s="8">
        <v>5.5577535786091203E-2</v>
      </c>
      <c r="V138" s="8">
        <v>7.6365619622057304E-2</v>
      </c>
      <c r="W138" s="8">
        <v>1.8150182660851E-2</v>
      </c>
      <c r="X138" s="8">
        <v>1.2231703456507001E-2</v>
      </c>
      <c r="Y138" s="8">
        <v>3.0095372305840001E-2</v>
      </c>
      <c r="Z138" s="10">
        <v>3.9467346018847597E-2</v>
      </c>
    </row>
    <row r="139" spans="1:26" x14ac:dyDescent="0.3">
      <c r="A139" s="27">
        <f t="shared" si="49"/>
        <v>22</v>
      </c>
      <c r="B139" s="36">
        <v>2.6363103310189E-4</v>
      </c>
      <c r="C139" s="8">
        <v>2.4065256568668101E-4</v>
      </c>
      <c r="D139" s="8">
        <v>2.4599557233919399E-4</v>
      </c>
      <c r="E139" s="8">
        <v>3.6961142917617002E-4</v>
      </c>
      <c r="F139" s="8">
        <v>2.6220324911981698E-4</v>
      </c>
      <c r="G139" s="8">
        <v>0</v>
      </c>
      <c r="H139" s="8">
        <v>1.84981306083288E-3</v>
      </c>
      <c r="I139" s="8">
        <v>1.9724403029211301E-4</v>
      </c>
      <c r="J139" s="8">
        <v>3.5476681661118699E-4</v>
      </c>
      <c r="K139" s="8">
        <v>6.9350940220937901E-4</v>
      </c>
      <c r="L139" s="8">
        <v>3.4382595911888302E-4</v>
      </c>
      <c r="M139" s="8">
        <v>6.66443755289816E-4</v>
      </c>
      <c r="N139" s="8">
        <v>1.28460364146273E-3</v>
      </c>
      <c r="O139" s="8">
        <v>5.5933385255008399E-4</v>
      </c>
      <c r="P139" s="8">
        <v>1.4619036268246799E-3</v>
      </c>
      <c r="Q139" s="8">
        <v>1.0173245740296101E-3</v>
      </c>
      <c r="R139" s="8">
        <v>8.2127116296431104E-4</v>
      </c>
      <c r="S139" s="8">
        <v>1.940454955051E-3</v>
      </c>
      <c r="T139" s="8">
        <v>2.6109426775632402E-4</v>
      </c>
      <c r="U139" s="8">
        <v>1.90919636417208E-3</v>
      </c>
      <c r="V139" s="8">
        <v>6.6912662550045496E-4</v>
      </c>
      <c r="W139" s="8">
        <v>1.1921982684464399E-2</v>
      </c>
      <c r="X139" s="8">
        <v>1.4135707015807001E-3</v>
      </c>
      <c r="Y139" s="8">
        <v>1.96209790268004E-3</v>
      </c>
      <c r="Z139" s="10">
        <v>1.57616838691568E-3</v>
      </c>
    </row>
    <row r="140" spans="1:26" x14ac:dyDescent="0.3">
      <c r="A140" s="27">
        <f t="shared" si="49"/>
        <v>23</v>
      </c>
      <c r="B140" s="36">
        <v>2.7529415521472398E-4</v>
      </c>
      <c r="C140" s="8">
        <v>2.04415359774232E-4</v>
      </c>
      <c r="D140" s="8">
        <v>1.5879554792403499E-4</v>
      </c>
      <c r="E140" s="8">
        <v>4.4035335320892998E-4</v>
      </c>
      <c r="F140" s="8">
        <v>4.0263152232367002E-4</v>
      </c>
      <c r="G140" s="8">
        <v>0</v>
      </c>
      <c r="H140" s="8">
        <v>2.0731388649350901E-3</v>
      </c>
      <c r="I140" s="8">
        <v>2.0242080825696399E-4</v>
      </c>
      <c r="J140" s="8">
        <v>2.99370094272636E-4</v>
      </c>
      <c r="K140" s="8">
        <v>8.09253413078774E-4</v>
      </c>
      <c r="L140" s="8">
        <v>6.9676251086159995E-4</v>
      </c>
      <c r="M140" s="8">
        <v>5.3793287204814905E-4</v>
      </c>
      <c r="N140" s="8">
        <v>3.3677362055066501E-4</v>
      </c>
      <c r="O140" s="8">
        <v>8.8424532245259097E-4</v>
      </c>
      <c r="P140" s="8">
        <v>4.3302384103292499E-4</v>
      </c>
      <c r="Q140" s="8">
        <v>3.28729824259229E-4</v>
      </c>
      <c r="R140" s="8">
        <v>3.6633293743371001E-4</v>
      </c>
      <c r="S140" s="8">
        <v>4.7077392619808298E-4</v>
      </c>
      <c r="T140" s="8">
        <v>3.4873697412372303E-4</v>
      </c>
      <c r="U140" s="8">
        <v>3.0925258397174302E-4</v>
      </c>
      <c r="V140" s="8">
        <v>2.0499641697104099E-4</v>
      </c>
      <c r="W140" s="8">
        <v>1.25664417123887E-3</v>
      </c>
      <c r="X140" s="8">
        <v>2.1711104597175901E-2</v>
      </c>
      <c r="Y140" s="8">
        <v>3.44567312978768E-3</v>
      </c>
      <c r="Z140" s="10">
        <v>2.5682704112420401E-3</v>
      </c>
    </row>
    <row r="141" spans="1:26" x14ac:dyDescent="0.3">
      <c r="A141" s="27">
        <f t="shared" si="49"/>
        <v>24</v>
      </c>
      <c r="B141" s="36">
        <v>1.02081087847596E-2</v>
      </c>
      <c r="C141" s="8">
        <v>4.2158240414676001E-3</v>
      </c>
      <c r="D141" s="8">
        <v>5.4739623713019698E-3</v>
      </c>
      <c r="E141" s="8">
        <v>3.2015688407412602E-3</v>
      </c>
      <c r="F141" s="8">
        <v>2.8375218547417899E-3</v>
      </c>
      <c r="G141" s="8">
        <v>0</v>
      </c>
      <c r="H141" s="8">
        <v>3.7740150915993799E-3</v>
      </c>
      <c r="I141" s="8">
        <v>1.2526283276512E-3</v>
      </c>
      <c r="J141" s="8">
        <v>3.4312712389129901E-3</v>
      </c>
      <c r="K141" s="8">
        <v>2.37938816742781E-3</v>
      </c>
      <c r="L141" s="8">
        <v>1.4069762012374201E-3</v>
      </c>
      <c r="M141" s="8">
        <v>1.49995270565634E-2</v>
      </c>
      <c r="N141" s="8">
        <v>1.5951830419587001E-2</v>
      </c>
      <c r="O141" s="8">
        <v>2.9010208385224601E-2</v>
      </c>
      <c r="P141" s="8">
        <v>3.74767379819606E-3</v>
      </c>
      <c r="Q141" s="8">
        <v>1.7567815282623502E-2</v>
      </c>
      <c r="R141" s="8">
        <v>3.4811933522660402E-3</v>
      </c>
      <c r="S141" s="8">
        <v>6.5371255212567795E-4</v>
      </c>
      <c r="T141" s="8">
        <v>8.8033648607272895E-4</v>
      </c>
      <c r="U141" s="8">
        <v>2.3194502879786902E-3</v>
      </c>
      <c r="V141" s="8">
        <v>3.8051803508505101E-3</v>
      </c>
      <c r="W141" s="8">
        <v>3.7731039005323001E-3</v>
      </c>
      <c r="X141" s="8">
        <v>3.9170567389686496E-3</v>
      </c>
      <c r="Y141" s="8">
        <v>4.6316261225656297E-2</v>
      </c>
      <c r="Z141" s="10">
        <v>7.2473286377713206E-2</v>
      </c>
    </row>
    <row r="142" spans="1:26" ht="15" thickBot="1" x14ac:dyDescent="0.35">
      <c r="A142" s="27">
        <f t="shared" si="49"/>
        <v>25</v>
      </c>
      <c r="B142" s="37">
        <v>3.64320599992857E-4</v>
      </c>
      <c r="C142" s="38">
        <v>2.3575402106929601E-4</v>
      </c>
      <c r="D142" s="38">
        <v>4.97619397954724E-4</v>
      </c>
      <c r="E142" s="38">
        <v>3.1909637873511098E-4</v>
      </c>
      <c r="F142" s="38">
        <v>4.65807631627812E-4</v>
      </c>
      <c r="G142" s="38">
        <v>0</v>
      </c>
      <c r="H142" s="38">
        <v>5.62812447588724E-4</v>
      </c>
      <c r="I142" s="38">
        <v>3.58582726728274E-4</v>
      </c>
      <c r="J142" s="38">
        <v>7.5142131333864903E-4</v>
      </c>
      <c r="K142" s="38">
        <v>6.4544944623498503E-4</v>
      </c>
      <c r="L142" s="38">
        <v>1.76107114657633E-4</v>
      </c>
      <c r="M142" s="38">
        <v>2.1567165035020499E-4</v>
      </c>
      <c r="N142" s="38">
        <v>4.7267970452912497E-4</v>
      </c>
      <c r="O142" s="38">
        <v>6.0856102487955E-4</v>
      </c>
      <c r="P142" s="38">
        <v>2.8157830766378301E-4</v>
      </c>
      <c r="Q142" s="38">
        <v>4.4962768271646402E-3</v>
      </c>
      <c r="R142" s="38">
        <v>5.6958205677985698E-4</v>
      </c>
      <c r="S142" s="38">
        <v>1.9477810408181199E-4</v>
      </c>
      <c r="T142" s="38">
        <v>1.4593615614314601E-4</v>
      </c>
      <c r="U142" s="38">
        <v>1.3636385273401699E-4</v>
      </c>
      <c r="V142" s="38">
        <v>3.6596595781180198E-4</v>
      </c>
      <c r="W142" s="38">
        <v>2.00533950700308E-4</v>
      </c>
      <c r="X142" s="38">
        <v>5.8566946999952197E-4</v>
      </c>
      <c r="Y142" s="38">
        <v>8.0550439330272401E-3</v>
      </c>
      <c r="Z142" s="39">
        <v>2.90726182216101E-2</v>
      </c>
    </row>
    <row r="143" spans="1:26" x14ac:dyDescent="0.3">
      <c r="A143" s="13"/>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5" thickBot="1" x14ac:dyDescent="0.35">
      <c r="A144" s="1" t="s">
        <v>165</v>
      </c>
    </row>
    <row r="145" spans="1:26" ht="15" thickBot="1" x14ac:dyDescent="0.35">
      <c r="A145" s="131">
        <v>2.5000000000000001E-2</v>
      </c>
      <c r="B145" s="13"/>
      <c r="C145" s="117"/>
      <c r="D145" s="117"/>
      <c r="E145" s="117"/>
      <c r="F145" s="17"/>
      <c r="G145" s="17"/>
      <c r="H145" s="17"/>
    </row>
    <row r="146" spans="1:26" x14ac:dyDescent="0.3">
      <c r="A146" s="40"/>
      <c r="C146" s="117"/>
      <c r="D146" s="117"/>
      <c r="E146" s="117"/>
      <c r="F146" s="17"/>
      <c r="G146" s="17"/>
    </row>
    <row r="147" spans="1:26" ht="15" thickBot="1" x14ac:dyDescent="0.35">
      <c r="A147" s="1" t="s">
        <v>166</v>
      </c>
      <c r="C147" s="3"/>
      <c r="D147" s="3"/>
      <c r="E147" s="3"/>
      <c r="F147" s="3"/>
      <c r="G147" s="3"/>
      <c r="H147" s="3"/>
      <c r="L147" s="3"/>
    </row>
    <row r="148" spans="1:26" ht="15" thickBot="1" x14ac:dyDescent="0.35">
      <c r="A148" s="134" t="s">
        <v>88</v>
      </c>
      <c r="B148" s="133" t="s">
        <v>89</v>
      </c>
      <c r="C148" s="28"/>
      <c r="D148" s="28"/>
      <c r="E148" s="28"/>
      <c r="F148" s="17"/>
      <c r="G148" s="17"/>
    </row>
    <row r="149" spans="1:26" ht="15" thickBot="1" x14ac:dyDescent="0.35">
      <c r="A149" s="131">
        <v>2.5000000000000001E-2</v>
      </c>
      <c r="B149" s="18">
        <v>0.20306912199420823</v>
      </c>
      <c r="C149" s="28"/>
      <c r="D149" s="28"/>
      <c r="E149" s="28"/>
      <c r="F149" s="17"/>
      <c r="G149" s="17"/>
    </row>
    <row r="150" spans="1:26" x14ac:dyDescent="0.3">
      <c r="C150" s="28"/>
      <c r="D150" s="28"/>
      <c r="E150" s="28"/>
      <c r="F150" s="17"/>
      <c r="G150" s="17"/>
    </row>
    <row r="152" spans="1:26" ht="15" thickBot="1" x14ac:dyDescent="0.35">
      <c r="A152" s="1" t="s">
        <v>167</v>
      </c>
      <c r="D152" s="3"/>
      <c r="E152" s="3"/>
    </row>
    <row r="153" spans="1:26" ht="15" thickBot="1" x14ac:dyDescent="0.35">
      <c r="A153" s="132" t="s">
        <v>88</v>
      </c>
      <c r="B153" s="81">
        <v>0</v>
      </c>
      <c r="D153" s="28"/>
      <c r="E153" s="17"/>
      <c r="F153" s="17"/>
    </row>
    <row r="154" spans="1:26" ht="15" thickBot="1" x14ac:dyDescent="0.35">
      <c r="A154" s="134" t="s">
        <v>89</v>
      </c>
      <c r="B154" s="81">
        <v>7500</v>
      </c>
    </row>
    <row r="157" spans="1:26" ht="15" thickBot="1" x14ac:dyDescent="0.35"/>
    <row r="158" spans="1:26" ht="16.350000000000001" customHeight="1" thickBot="1" x14ac:dyDescent="0.35">
      <c r="B158" s="136">
        <v>1</v>
      </c>
      <c r="C158" s="137">
        <v>2</v>
      </c>
      <c r="D158" s="137">
        <v>3</v>
      </c>
      <c r="E158" s="137">
        <v>4</v>
      </c>
      <c r="F158" s="137">
        <v>5</v>
      </c>
      <c r="G158" s="137">
        <v>6</v>
      </c>
      <c r="H158" s="137">
        <v>7</v>
      </c>
      <c r="I158" s="137">
        <v>8</v>
      </c>
      <c r="J158" s="137">
        <v>9</v>
      </c>
      <c r="K158" s="137">
        <v>10</v>
      </c>
      <c r="L158" s="137">
        <v>11</v>
      </c>
      <c r="M158" s="137">
        <v>12</v>
      </c>
      <c r="N158" s="137">
        <v>13</v>
      </c>
      <c r="O158" s="137">
        <v>14</v>
      </c>
      <c r="P158" s="137">
        <v>15</v>
      </c>
      <c r="Q158" s="137">
        <v>16</v>
      </c>
      <c r="R158" s="137">
        <v>17</v>
      </c>
      <c r="S158" s="137">
        <v>18</v>
      </c>
      <c r="T158" s="137">
        <v>19</v>
      </c>
      <c r="U158" s="137">
        <v>20</v>
      </c>
      <c r="V158" s="137">
        <v>21</v>
      </c>
      <c r="W158" s="137">
        <v>22</v>
      </c>
      <c r="X158" s="137">
        <v>23</v>
      </c>
      <c r="Y158" s="137">
        <v>24</v>
      </c>
      <c r="Z158" s="138">
        <v>25</v>
      </c>
    </row>
    <row r="159" spans="1:26" x14ac:dyDescent="0.3">
      <c r="A159" s="15" t="s">
        <v>102</v>
      </c>
      <c r="B159" s="139">
        <v>4.3881892796336832E-3</v>
      </c>
      <c r="C159" s="135">
        <v>8.2389960048833593E-4</v>
      </c>
      <c r="D159" s="135">
        <v>5.5583029149934961E-4</v>
      </c>
      <c r="E159" s="135">
        <v>7.5138467649552706E-5</v>
      </c>
      <c r="F159" s="135">
        <v>1.133021637468856E-2</v>
      </c>
      <c r="G159" s="135">
        <v>0</v>
      </c>
      <c r="H159" s="135">
        <v>0.5771115580830315</v>
      </c>
      <c r="I159" s="135">
        <v>1.1292381792412584E-8</v>
      </c>
      <c r="J159" s="135">
        <v>3.2388356143511765E-3</v>
      </c>
      <c r="K159" s="135">
        <v>6.7274506764795407E-6</v>
      </c>
      <c r="L159" s="135">
        <v>2.0366955787491552E-3</v>
      </c>
      <c r="M159" s="135">
        <v>9.5378892693718837E-4</v>
      </c>
      <c r="N159" s="135">
        <v>1.4479216768730193E-4</v>
      </c>
      <c r="O159" s="135">
        <v>2.2502485034528021E-4</v>
      </c>
      <c r="P159" s="135">
        <v>1.6013580246185122E-5</v>
      </c>
      <c r="Q159" s="135">
        <v>0</v>
      </c>
      <c r="R159" s="135">
        <v>1.6056263859615999E-6</v>
      </c>
      <c r="S159" s="135">
        <v>0</v>
      </c>
      <c r="T159" s="135">
        <v>0</v>
      </c>
      <c r="U159" s="135">
        <v>0</v>
      </c>
      <c r="V159" s="135">
        <v>8.5124478271332345E-3</v>
      </c>
      <c r="W159" s="135">
        <v>0.16777828727025232</v>
      </c>
      <c r="X159" s="135">
        <v>0.21364375639941113</v>
      </c>
      <c r="Y159" s="135">
        <v>8.5761896885871193E-3</v>
      </c>
      <c r="Z159" s="140">
        <v>5.8099162986484463E-4</v>
      </c>
    </row>
    <row r="160" spans="1:26" x14ac:dyDescent="0.3">
      <c r="A160" s="15" t="s">
        <v>104</v>
      </c>
      <c r="B160" s="141">
        <v>1.3359155088973729E-2</v>
      </c>
      <c r="C160" s="49">
        <v>4.4570385833515372E-3</v>
      </c>
      <c r="D160" s="49">
        <v>1.3639676349731997E-2</v>
      </c>
      <c r="E160" s="49">
        <v>2.8916126124321931E-3</v>
      </c>
      <c r="F160" s="49">
        <v>0.47379739376806962</v>
      </c>
      <c r="G160" s="49">
        <v>0</v>
      </c>
      <c r="H160" s="49">
        <v>0.16399762137033433</v>
      </c>
      <c r="I160" s="49">
        <v>2.3896356036004975E-4</v>
      </c>
      <c r="J160" s="49">
        <v>3.8534158307226541E-3</v>
      </c>
      <c r="K160" s="49">
        <v>7.2213050861766995E-5</v>
      </c>
      <c r="L160" s="49">
        <v>0.31656993087342999</v>
      </c>
      <c r="M160" s="49">
        <v>6.2547734279472413E-6</v>
      </c>
      <c r="N160" s="49">
        <v>2.2229463491644458E-6</v>
      </c>
      <c r="O160" s="49">
        <v>1.0459656925943404E-6</v>
      </c>
      <c r="P160" s="49">
        <v>2.6062607332902884E-5</v>
      </c>
      <c r="Q160" s="49">
        <v>0</v>
      </c>
      <c r="R160" s="49">
        <v>5.6911906361469544E-6</v>
      </c>
      <c r="S160" s="49">
        <v>0</v>
      </c>
      <c r="T160" s="49">
        <v>0</v>
      </c>
      <c r="U160" s="49">
        <v>0</v>
      </c>
      <c r="V160" s="49">
        <v>6.5742481173807358E-3</v>
      </c>
      <c r="W160" s="49">
        <v>1.7895600502667325E-4</v>
      </c>
      <c r="X160" s="49">
        <v>2.770628852557171E-4</v>
      </c>
      <c r="Y160" s="49">
        <v>3.5442427880691528E-5</v>
      </c>
      <c r="Z160" s="122">
        <v>1.599199274967123E-5</v>
      </c>
    </row>
    <row r="161" spans="1:29" x14ac:dyDescent="0.3">
      <c r="A161" s="15" t="s">
        <v>140</v>
      </c>
      <c r="B161" s="141">
        <v>0.18197763613788842</v>
      </c>
      <c r="C161" s="49">
        <v>6.6143201776107205E-2</v>
      </c>
      <c r="D161" s="49">
        <v>2.5091553611011914E-2</v>
      </c>
      <c r="E161" s="49">
        <v>7.8382643724015928E-5</v>
      </c>
      <c r="F161" s="49">
        <v>6.6707373162131402E-3</v>
      </c>
      <c r="G161" s="49">
        <v>0</v>
      </c>
      <c r="H161" s="49">
        <v>0.41927641920862185</v>
      </c>
      <c r="I161" s="49">
        <v>1.0036268278330265E-4</v>
      </c>
      <c r="J161" s="49">
        <v>4.0356813574295991E-2</v>
      </c>
      <c r="K161" s="49">
        <v>5.808785574125239E-5</v>
      </c>
      <c r="L161" s="49">
        <v>0.10534808645284706</v>
      </c>
      <c r="M161" s="49">
        <v>7.0673276688840497E-3</v>
      </c>
      <c r="N161" s="49">
        <v>7.0784491387433299E-4</v>
      </c>
      <c r="O161" s="49">
        <v>1.8952357350575221E-3</v>
      </c>
      <c r="P161" s="49">
        <v>1.6320466209765729E-4</v>
      </c>
      <c r="Q161" s="49">
        <v>0</v>
      </c>
      <c r="R161" s="49">
        <v>1.6830418163220952E-5</v>
      </c>
      <c r="S161" s="49">
        <v>0</v>
      </c>
      <c r="T161" s="49">
        <v>0</v>
      </c>
      <c r="U161" s="49">
        <v>0</v>
      </c>
      <c r="V161" s="49">
        <v>4.2932154230525689E-2</v>
      </c>
      <c r="W161" s="49">
        <v>3.5261866677707691E-2</v>
      </c>
      <c r="X161" s="49">
        <v>5.8477849747906624E-2</v>
      </c>
      <c r="Y161" s="49">
        <v>7.8023134173261328E-3</v>
      </c>
      <c r="Z161" s="122">
        <v>5.7409126922282794E-4</v>
      </c>
    </row>
    <row r="162" spans="1:29" x14ac:dyDescent="0.3">
      <c r="A162" s="15" t="s">
        <v>141</v>
      </c>
      <c r="B162" s="141">
        <v>0.10887930879970167</v>
      </c>
      <c r="C162" s="49">
        <v>4.6990904289185453E-2</v>
      </c>
      <c r="D162" s="49">
        <v>2.1567105276565465E-2</v>
      </c>
      <c r="E162" s="49">
        <v>1.0317733420357689E-4</v>
      </c>
      <c r="F162" s="49">
        <v>2.8947740531410767E-3</v>
      </c>
      <c r="G162" s="49">
        <v>0</v>
      </c>
      <c r="H162" s="49">
        <v>0.50565202924252417</v>
      </c>
      <c r="I162" s="49">
        <v>2.1827992852616951E-4</v>
      </c>
      <c r="J162" s="49">
        <v>2.0733884018425665E-2</v>
      </c>
      <c r="K162" s="49">
        <v>2.3686218683681049E-4</v>
      </c>
      <c r="L162" s="49">
        <v>7.1493505634712587E-2</v>
      </c>
      <c r="M162" s="49">
        <v>3.2992981774591311E-3</v>
      </c>
      <c r="N162" s="49">
        <v>3.104342468454737E-4</v>
      </c>
      <c r="O162" s="49">
        <v>8.7584382285521328E-4</v>
      </c>
      <c r="P162" s="49">
        <v>6.1574547439692404E-5</v>
      </c>
      <c r="Q162" s="49">
        <v>0</v>
      </c>
      <c r="R162" s="49">
        <v>1.3922907991319154E-5</v>
      </c>
      <c r="S162" s="49">
        <v>0</v>
      </c>
      <c r="T162" s="49">
        <v>0</v>
      </c>
      <c r="U162" s="49">
        <v>0</v>
      </c>
      <c r="V162" s="49">
        <v>3.6817544457719488E-2</v>
      </c>
      <c r="W162" s="49">
        <v>7.3333259096974038E-2</v>
      </c>
      <c r="X162" s="49">
        <v>9.6253224025508941E-2</v>
      </c>
      <c r="Y162" s="49">
        <v>9.9270270229589435E-3</v>
      </c>
      <c r="Z162" s="122">
        <v>3.380409304251601E-4</v>
      </c>
    </row>
    <row r="163" spans="1:29" ht="15" thickBot="1" x14ac:dyDescent="0.35">
      <c r="A163" s="15" t="s">
        <v>142</v>
      </c>
      <c r="B163" s="142">
        <v>3.2979188981150112E-2</v>
      </c>
      <c r="C163" s="124">
        <v>2.6166680517563889E-2</v>
      </c>
      <c r="D163" s="124">
        <v>1.8731994687040652E-2</v>
      </c>
      <c r="E163" s="124">
        <v>3.817419917402986E-5</v>
      </c>
      <c r="F163" s="124">
        <v>3.1657257181940354E-3</v>
      </c>
      <c r="G163" s="124">
        <v>0</v>
      </c>
      <c r="H163" s="124">
        <v>0.63419140438686639</v>
      </c>
      <c r="I163" s="124">
        <v>2.5106410571315197E-7</v>
      </c>
      <c r="J163" s="124">
        <v>1.9058214017364825E-2</v>
      </c>
      <c r="K163" s="124">
        <v>1.0918819291655343E-4</v>
      </c>
      <c r="L163" s="124">
        <v>5.5878687620344307E-2</v>
      </c>
      <c r="M163" s="124">
        <v>5.4061044443046487E-3</v>
      </c>
      <c r="N163" s="124">
        <v>2.0343280660558138E-3</v>
      </c>
      <c r="O163" s="124">
        <v>7.858329410136099E-4</v>
      </c>
      <c r="P163" s="124">
        <v>2.0087845235161321E-4</v>
      </c>
      <c r="Q163" s="124">
        <v>0</v>
      </c>
      <c r="R163" s="124">
        <v>2.9216654127031295E-5</v>
      </c>
      <c r="S163" s="124">
        <v>0</v>
      </c>
      <c r="T163" s="124">
        <v>0</v>
      </c>
      <c r="U163" s="124">
        <v>0</v>
      </c>
      <c r="V163" s="124">
        <v>4.2987201575381911E-2</v>
      </c>
      <c r="W163" s="124">
        <v>3.1256128729936272E-2</v>
      </c>
      <c r="X163" s="124">
        <v>0.12200868674440421</v>
      </c>
      <c r="Y163" s="124">
        <v>4.0096028412082733E-3</v>
      </c>
      <c r="Z163" s="125">
        <v>9.6251016649647478E-4</v>
      </c>
    </row>
    <row r="164" spans="1:29" x14ac:dyDescent="0.3">
      <c r="A164" s="13"/>
    </row>
    <row r="165" spans="1:29" s="1" customFormat="1" ht="15" thickBot="1" x14ac:dyDescent="0.35">
      <c r="A165" s="15" t="s">
        <v>103</v>
      </c>
    </row>
    <row r="166" spans="1:29" s="1" customFormat="1" ht="16.350000000000001" customHeight="1" thickBot="1" x14ac:dyDescent="0.35">
      <c r="B166" s="136">
        <v>1</v>
      </c>
      <c r="C166" s="137">
        <v>2</v>
      </c>
      <c r="D166" s="137">
        <v>3</v>
      </c>
      <c r="E166" s="137">
        <v>4</v>
      </c>
      <c r="F166" s="137">
        <v>5</v>
      </c>
      <c r="G166" s="137">
        <v>6</v>
      </c>
      <c r="H166" s="137">
        <v>7</v>
      </c>
      <c r="I166" s="137">
        <v>8</v>
      </c>
      <c r="J166" s="137">
        <v>9</v>
      </c>
      <c r="K166" s="137">
        <v>10</v>
      </c>
      <c r="L166" s="137">
        <v>11</v>
      </c>
      <c r="M166" s="137">
        <v>12</v>
      </c>
      <c r="N166" s="137">
        <v>13</v>
      </c>
      <c r="O166" s="137">
        <v>14</v>
      </c>
      <c r="P166" s="137">
        <v>15</v>
      </c>
      <c r="Q166" s="137">
        <v>16</v>
      </c>
      <c r="R166" s="137">
        <v>17</v>
      </c>
      <c r="S166" s="137">
        <v>18</v>
      </c>
      <c r="T166" s="137">
        <v>19</v>
      </c>
      <c r="U166" s="137">
        <v>20</v>
      </c>
      <c r="V166" s="137">
        <v>21</v>
      </c>
      <c r="W166" s="137">
        <v>22</v>
      </c>
      <c r="X166" s="137">
        <v>23</v>
      </c>
      <c r="Y166" s="137">
        <v>24</v>
      </c>
      <c r="Z166" s="138">
        <v>25</v>
      </c>
    </row>
    <row r="167" spans="1:29" s="1" customFormat="1" x14ac:dyDescent="0.3">
      <c r="A167" s="143" t="s">
        <v>88</v>
      </c>
      <c r="B167" s="139">
        <v>4.3930635979956096E-3</v>
      </c>
      <c r="C167" s="135">
        <v>8.2481477271431148E-4</v>
      </c>
      <c r="D167" s="135">
        <v>1.1414311740797799E-4</v>
      </c>
      <c r="E167" s="135">
        <v>7.522193005037736E-5</v>
      </c>
      <c r="F167" s="135">
        <v>1.1342801766566723E-2</v>
      </c>
      <c r="G167" s="135">
        <v>0</v>
      </c>
      <c r="H167" s="135">
        <v>0.57775260277941676</v>
      </c>
      <c r="I167" s="135">
        <v>1.1304925158346252E-8</v>
      </c>
      <c r="J167" s="135">
        <v>3.242433252215059E-3</v>
      </c>
      <c r="K167" s="135">
        <v>7.1509568873040685E-6</v>
      </c>
      <c r="L167" s="135">
        <v>2.0389579020047236E-3</v>
      </c>
      <c r="M167" s="135">
        <v>0</v>
      </c>
      <c r="N167" s="135">
        <v>0</v>
      </c>
      <c r="O167" s="135">
        <v>4.9962446698164449E-4</v>
      </c>
      <c r="P167" s="135">
        <v>1.4525395794524917E-4</v>
      </c>
      <c r="Q167" s="135">
        <v>0</v>
      </c>
      <c r="R167" s="135">
        <v>2.8943833477564476E-5</v>
      </c>
      <c r="S167" s="135">
        <v>0</v>
      </c>
      <c r="T167" s="135">
        <v>0</v>
      </c>
      <c r="U167" s="135">
        <v>0</v>
      </c>
      <c r="V167" s="135">
        <v>8.5219032945492157E-3</v>
      </c>
      <c r="W167" s="135">
        <v>0.1679646522454756</v>
      </c>
      <c r="X167" s="135">
        <v>0.21388106787764702</v>
      </c>
      <c r="Y167" s="135">
        <v>8.5857159592674804E-3</v>
      </c>
      <c r="Z167" s="140">
        <v>5.816369844722038E-4</v>
      </c>
    </row>
    <row r="168" spans="1:29" s="1" customFormat="1" ht="15" thickBot="1" x14ac:dyDescent="0.35">
      <c r="A168" s="144" t="s">
        <v>89</v>
      </c>
      <c r="B168" s="142">
        <v>4.3930870806438791E-3</v>
      </c>
      <c r="C168" s="124">
        <v>8.2481918167283505E-4</v>
      </c>
      <c r="D168" s="124">
        <v>1.3697247305726075E-4</v>
      </c>
      <c r="E168" s="124">
        <v>7.5222332141102008E-5</v>
      </c>
      <c r="F168" s="124">
        <v>1.1342862398291791E-2</v>
      </c>
      <c r="G168" s="124">
        <v>0</v>
      </c>
      <c r="H168" s="124">
        <v>0.54565815269962736</v>
      </c>
      <c r="I168" s="124">
        <v>1.1304985587605989E-8</v>
      </c>
      <c r="J168" s="124">
        <v>3.242450584292754E-3</v>
      </c>
      <c r="K168" s="124">
        <v>1.2042873121141672E-5</v>
      </c>
      <c r="L168" s="124">
        <v>2.038968801034565E-3</v>
      </c>
      <c r="M168" s="124">
        <v>0</v>
      </c>
      <c r="N168" s="124">
        <v>0</v>
      </c>
      <c r="O168" s="124">
        <v>4.9962713767041629E-4</v>
      </c>
      <c r="P168" s="124">
        <v>1.179623025667352E-4</v>
      </c>
      <c r="Q168" s="124">
        <v>0</v>
      </c>
      <c r="R168" s="124">
        <v>2.3170404206828588E-5</v>
      </c>
      <c r="S168" s="124">
        <v>0</v>
      </c>
      <c r="T168" s="124">
        <v>0</v>
      </c>
      <c r="U168" s="124">
        <v>0</v>
      </c>
      <c r="V168" s="124">
        <v>8.521948847465351E-3</v>
      </c>
      <c r="W168" s="124">
        <v>0.18401431927947992</v>
      </c>
      <c r="X168" s="124">
        <v>0.22993098035290524</v>
      </c>
      <c r="Y168" s="124">
        <v>8.5857618532873409E-3</v>
      </c>
      <c r="Z168" s="125">
        <v>5.8164009355005401E-4</v>
      </c>
    </row>
    <row r="169" spans="1:29" s="1" customFormat="1" ht="15" thickBot="1" x14ac:dyDescent="0.35">
      <c r="A169" s="15" t="s">
        <v>105</v>
      </c>
      <c r="B169"/>
      <c r="C169"/>
      <c r="D169"/>
      <c r="E169"/>
      <c r="F169"/>
      <c r="G169"/>
      <c r="H169"/>
      <c r="I169"/>
      <c r="J169"/>
      <c r="K169"/>
      <c r="L169"/>
      <c r="M169"/>
      <c r="N169"/>
      <c r="O169"/>
      <c r="P169"/>
      <c r="Q169"/>
      <c r="R169"/>
      <c r="S169"/>
      <c r="T169"/>
      <c r="U169"/>
      <c r="V169"/>
      <c r="W169"/>
      <c r="X169"/>
      <c r="Y169"/>
      <c r="Z169"/>
    </row>
    <row r="170" spans="1:29" s="1" customFormat="1" x14ac:dyDescent="0.3">
      <c r="A170" s="143" t="s">
        <v>88</v>
      </c>
      <c r="B170" s="147">
        <v>1.34863896796951E-2</v>
      </c>
      <c r="C170" s="119">
        <v>4.4994880853002159E-3</v>
      </c>
      <c r="D170" s="119">
        <v>2.8245297778232664E-3</v>
      </c>
      <c r="E170" s="119">
        <v>2.9191527633487158E-3</v>
      </c>
      <c r="F170" s="119">
        <v>0.47830991099535214</v>
      </c>
      <c r="G170" s="119">
        <v>0</v>
      </c>
      <c r="H170" s="119">
        <v>0.16555955923956045</v>
      </c>
      <c r="I170" s="119">
        <v>2.4123948504220483E-4</v>
      </c>
      <c r="J170" s="119">
        <v>3.8901163393128958E-3</v>
      </c>
      <c r="K170" s="119">
        <v>1.384891381480311E-4</v>
      </c>
      <c r="L170" s="119">
        <v>0.31958499023318088</v>
      </c>
      <c r="M170" s="119">
        <v>0</v>
      </c>
      <c r="N170" s="119">
        <v>0</v>
      </c>
      <c r="O170" s="119">
        <v>3.1422404782188702E-6</v>
      </c>
      <c r="P170" s="119">
        <v>1.15031936408044E-3</v>
      </c>
      <c r="Q170" s="119">
        <v>0</v>
      </c>
      <c r="R170" s="119">
        <v>2.4352404702238919E-4</v>
      </c>
      <c r="S170" s="119">
        <v>0</v>
      </c>
      <c r="T170" s="119">
        <v>0</v>
      </c>
      <c r="U170" s="119">
        <v>0</v>
      </c>
      <c r="V170" s="119">
        <v>6.6368622395272846E-3</v>
      </c>
      <c r="W170" s="119">
        <v>1.806604087786361E-4</v>
      </c>
      <c r="X170" s="119">
        <v>2.7970167360534027E-4</v>
      </c>
      <c r="Y170" s="119">
        <v>3.5779986863691403E-5</v>
      </c>
      <c r="Z170" s="120">
        <v>1.6144302879973031E-5</v>
      </c>
    </row>
    <row r="171" spans="1:29" s="1" customFormat="1" ht="16.350000000000001" customHeight="1" thickBot="1" x14ac:dyDescent="0.35">
      <c r="A171" s="144" t="s">
        <v>89</v>
      </c>
      <c r="B171" s="148">
        <v>1.3486946432844893E-2</v>
      </c>
      <c r="C171" s="149">
        <v>4.4996738358400899E-3</v>
      </c>
      <c r="D171" s="149">
        <v>3.3895756580872203E-3</v>
      </c>
      <c r="E171" s="149">
        <v>2.9192732735470951E-3</v>
      </c>
      <c r="F171" s="149">
        <v>0.47832965686921819</v>
      </c>
      <c r="G171" s="149">
        <v>0</v>
      </c>
      <c r="H171" s="149">
        <v>0.16556639396762884</v>
      </c>
      <c r="I171" s="149">
        <v>2.4124944403392475E-4</v>
      </c>
      <c r="J171" s="149">
        <v>3.8902769334063793E-3</v>
      </c>
      <c r="K171" s="149">
        <v>2.4031796074337663E-4</v>
      </c>
      <c r="L171" s="149">
        <v>0.31959818353058406</v>
      </c>
      <c r="M171" s="149">
        <v>0</v>
      </c>
      <c r="N171" s="149">
        <v>0</v>
      </c>
      <c r="O171" s="149">
        <v>3.1423701980568112E-6</v>
      </c>
      <c r="P171" s="149">
        <v>5.6596029976980382E-4</v>
      </c>
      <c r="Q171" s="149">
        <v>0</v>
      </c>
      <c r="R171" s="149">
        <v>1.1990567704344076E-4</v>
      </c>
      <c r="S171" s="149">
        <v>0</v>
      </c>
      <c r="T171" s="149">
        <v>0</v>
      </c>
      <c r="U171" s="149">
        <v>0</v>
      </c>
      <c r="V171" s="149">
        <v>6.6371362264166121E-3</v>
      </c>
      <c r="W171" s="149">
        <v>1.8066786690894521E-4</v>
      </c>
      <c r="X171" s="149">
        <v>2.7971322041597536E-4</v>
      </c>
      <c r="Y171" s="149">
        <v>3.5781463954362743E-5</v>
      </c>
      <c r="Z171" s="150">
        <v>1.6144969358674381E-5</v>
      </c>
      <c r="AA171" s="3"/>
      <c r="AB171" s="3"/>
      <c r="AC171" s="3"/>
    </row>
    <row r="172" spans="1:29" ht="15" thickBot="1" x14ac:dyDescent="0.35">
      <c r="A172" s="15" t="s">
        <v>143</v>
      </c>
    </row>
    <row r="173" spans="1:29" x14ac:dyDescent="0.3">
      <c r="A173" s="143" t="s">
        <v>88</v>
      </c>
      <c r="B173" s="147">
        <v>0.18619102891950462</v>
      </c>
      <c r="C173" s="119">
        <v>6.76746387967819E-2</v>
      </c>
      <c r="D173" s="119">
        <v>5.2661553343877517E-3</v>
      </c>
      <c r="E173" s="119">
        <v>8.0197464887098399E-5</v>
      </c>
      <c r="F173" s="119">
        <v>6.8251872643094735E-3</v>
      </c>
      <c r="G173" s="119">
        <v>0</v>
      </c>
      <c r="H173" s="119">
        <v>0.42898407491669421</v>
      </c>
      <c r="I173" s="119">
        <v>1.0268641559002175E-4</v>
      </c>
      <c r="J173" s="119">
        <v>4.1291209199009603E-2</v>
      </c>
      <c r="K173" s="119">
        <v>2.2682522392563002E-4</v>
      </c>
      <c r="L173" s="119">
        <v>0.10778724807972506</v>
      </c>
      <c r="M173" s="119">
        <v>0</v>
      </c>
      <c r="N173" s="119">
        <v>0</v>
      </c>
      <c r="O173" s="119">
        <v>3.9376979042279568E-3</v>
      </c>
      <c r="P173" s="119">
        <v>2.6780059817637066E-3</v>
      </c>
      <c r="Q173" s="119">
        <v>0</v>
      </c>
      <c r="R173" s="119">
        <v>5.4841496922530689E-4</v>
      </c>
      <c r="S173" s="119">
        <v>0</v>
      </c>
      <c r="T173" s="119">
        <v>0</v>
      </c>
      <c r="U173" s="119">
        <v>0</v>
      </c>
      <c r="V173" s="119">
        <v>4.392617763127514E-2</v>
      </c>
      <c r="W173" s="119">
        <v>3.6078297189056842E-2</v>
      </c>
      <c r="X173" s="119">
        <v>5.9831808153133798E-2</v>
      </c>
      <c r="Y173" s="119">
        <v>7.9829631484148456E-3</v>
      </c>
      <c r="Z173" s="120">
        <v>5.8738340808707566E-4</v>
      </c>
    </row>
    <row r="174" spans="1:29" ht="15" thickBot="1" x14ac:dyDescent="0.35">
      <c r="A174" s="144" t="s">
        <v>89</v>
      </c>
      <c r="B174" s="142">
        <v>0.18619153823411938</v>
      </c>
      <c r="C174" s="124">
        <v>6.7674823916778232E-2</v>
      </c>
      <c r="D174" s="124">
        <v>6.3194036875753312E-3</v>
      </c>
      <c r="E174" s="124">
        <v>8.0197684262549364E-5</v>
      </c>
      <c r="F174" s="124">
        <v>6.8252059342080312E-3</v>
      </c>
      <c r="G174" s="124">
        <v>0</v>
      </c>
      <c r="H174" s="124">
        <v>0.42898524837741425</v>
      </c>
      <c r="I174" s="124">
        <v>1.0268669648267541E-4</v>
      </c>
      <c r="J174" s="124">
        <v>4.1291322148685153E-2</v>
      </c>
      <c r="K174" s="124">
        <v>4.0097169565433109E-4</v>
      </c>
      <c r="L174" s="124">
        <v>0.10778754292540615</v>
      </c>
      <c r="M174" s="124">
        <v>0</v>
      </c>
      <c r="N174" s="124">
        <v>0</v>
      </c>
      <c r="O174" s="124">
        <v>3.9377086755691048E-3</v>
      </c>
      <c r="P174" s="124">
        <v>1.6626857720600493E-3</v>
      </c>
      <c r="Q174" s="124">
        <v>0</v>
      </c>
      <c r="R174" s="124">
        <v>3.3362876420576582E-4</v>
      </c>
      <c r="S174" s="124">
        <v>0</v>
      </c>
      <c r="T174" s="124">
        <v>0</v>
      </c>
      <c r="U174" s="124">
        <v>0</v>
      </c>
      <c r="V174" s="124">
        <v>4.3926297788751949E-2</v>
      </c>
      <c r="W174" s="124">
        <v>3.6078395879118021E-2</v>
      </c>
      <c r="X174" s="124">
        <v>5.9831971819527922E-2</v>
      </c>
      <c r="Y174" s="124">
        <v>7.9829849853412758E-3</v>
      </c>
      <c r="Z174" s="125">
        <v>5.8738501483986041E-4</v>
      </c>
    </row>
    <row r="175" spans="1:29" ht="15" thickBot="1" x14ac:dyDescent="0.35">
      <c r="A175" s="15" t="s">
        <v>144</v>
      </c>
    </row>
    <row r="176" spans="1:29" x14ac:dyDescent="0.3">
      <c r="A176" s="143" t="s">
        <v>88</v>
      </c>
      <c r="B176" s="147">
        <v>0.11077331199143708</v>
      </c>
      <c r="C176" s="119">
        <v>4.7808331619386274E-2</v>
      </c>
      <c r="D176" s="119">
        <v>4.5009793855570737E-3</v>
      </c>
      <c r="E176" s="119">
        <v>1.0497214905362176E-4</v>
      </c>
      <c r="F176" s="119">
        <v>2.9451299137397903E-3</v>
      </c>
      <c r="G176" s="119">
        <v>0</v>
      </c>
      <c r="H176" s="119">
        <v>0.51444806742324645</v>
      </c>
      <c r="I176" s="119">
        <v>2.2207700334119147E-4</v>
      </c>
      <c r="J176" s="119">
        <v>2.109455899828077E-2</v>
      </c>
      <c r="K176" s="119">
        <v>2.7189212275823991E-4</v>
      </c>
      <c r="L176" s="119">
        <v>7.2737166430811157E-2</v>
      </c>
      <c r="M176" s="119">
        <v>0</v>
      </c>
      <c r="N176" s="119">
        <v>0</v>
      </c>
      <c r="O176" s="119">
        <v>1.814533422997485E-3</v>
      </c>
      <c r="P176" s="119">
        <v>2.3440458801067439E-3</v>
      </c>
      <c r="Q176" s="119">
        <v>0</v>
      </c>
      <c r="R176" s="119">
        <v>4.9678445503207041E-4</v>
      </c>
      <c r="S176" s="119">
        <v>0</v>
      </c>
      <c r="T176" s="119">
        <v>0</v>
      </c>
      <c r="U176" s="119">
        <v>0</v>
      </c>
      <c r="V176" s="119">
        <v>3.7458001744632138E-2</v>
      </c>
      <c r="W176" s="119">
        <v>7.4608923209110736E-2</v>
      </c>
      <c r="X176" s="119">
        <v>9.7927590950950313E-2</v>
      </c>
      <c r="Y176" s="119">
        <v>1.0099711999316724E-2</v>
      </c>
      <c r="Z176" s="120">
        <v>3.4392130024216811E-4</v>
      </c>
    </row>
    <row r="177" spans="1:83" ht="15" thickBot="1" x14ac:dyDescent="0.35">
      <c r="A177" s="144" t="s">
        <v>89</v>
      </c>
      <c r="B177" s="142">
        <v>0.11079402091558377</v>
      </c>
      <c r="C177" s="124">
        <v>4.7817269323742015E-2</v>
      </c>
      <c r="D177" s="124">
        <v>5.4021850052392096E-3</v>
      </c>
      <c r="E177" s="124">
        <v>1.0499177345803096E-4</v>
      </c>
      <c r="F177" s="124">
        <v>2.9456805018813681E-3</v>
      </c>
      <c r="G177" s="124">
        <v>0</v>
      </c>
      <c r="H177" s="124">
        <v>0.51454424280894318</v>
      </c>
      <c r="I177" s="124">
        <v>2.2211852034320428E-4</v>
      </c>
      <c r="J177" s="124">
        <v>2.1098502598181773E-2</v>
      </c>
      <c r="K177" s="124">
        <v>4.5983238433288721E-4</v>
      </c>
      <c r="L177" s="124">
        <v>7.2750764547859212E-2</v>
      </c>
      <c r="M177" s="124">
        <v>0</v>
      </c>
      <c r="N177" s="124">
        <v>0</v>
      </c>
      <c r="O177" s="124">
        <v>1.814872647620663E-3</v>
      </c>
      <c r="P177" s="124">
        <v>1.2919420728901454E-3</v>
      </c>
      <c r="Q177" s="124">
        <v>0</v>
      </c>
      <c r="R177" s="124">
        <v>2.7421707527277271E-4</v>
      </c>
      <c r="S177" s="124">
        <v>0</v>
      </c>
      <c r="T177" s="124">
        <v>0</v>
      </c>
      <c r="U177" s="124">
        <v>0</v>
      </c>
      <c r="V177" s="124">
        <v>3.746500446850913E-2</v>
      </c>
      <c r="W177" s="124">
        <v>7.4622871248612554E-2</v>
      </c>
      <c r="X177" s="124">
        <v>9.7945898384540694E-2</v>
      </c>
      <c r="Y177" s="124">
        <v>1.0101600127115173E-2</v>
      </c>
      <c r="Z177" s="125">
        <v>3.4398559587431186E-4</v>
      </c>
    </row>
    <row r="178" spans="1:83" ht="16.350000000000001" customHeight="1" thickBot="1" x14ac:dyDescent="0.35">
      <c r="A178" s="15" t="s">
        <v>145</v>
      </c>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row>
    <row r="179" spans="1:83" ht="16.350000000000001" customHeight="1" x14ac:dyDescent="0.3">
      <c r="A179" s="143" t="s">
        <v>88</v>
      </c>
      <c r="B179" s="147">
        <v>3.3581941846993479E-2</v>
      </c>
      <c r="C179" s="151">
        <v>2.6644922771507259E-2</v>
      </c>
      <c r="D179" s="151">
        <v>3.9126881928117797E-3</v>
      </c>
      <c r="E179" s="151">
        <v>3.8871900017024322E-5</v>
      </c>
      <c r="F179" s="151">
        <v>3.2235849411787537E-3</v>
      </c>
      <c r="G179" s="151">
        <v>0</v>
      </c>
      <c r="H179" s="151">
        <v>0.64578237124496285</v>
      </c>
      <c r="I179" s="151">
        <v>2.5565274521291348E-7</v>
      </c>
      <c r="J179" s="151">
        <v>1.9406536504112112E-2</v>
      </c>
      <c r="K179" s="151">
        <v>1.9602616889032479E-4</v>
      </c>
      <c r="L179" s="151">
        <v>5.6899969226813764E-2</v>
      </c>
      <c r="M179" s="151">
        <v>0</v>
      </c>
      <c r="N179" s="151">
        <v>0</v>
      </c>
      <c r="O179" s="151">
        <v>2.6434149802539411E-3</v>
      </c>
      <c r="P179" s="151">
        <v>2.2954829294448168E-3</v>
      </c>
      <c r="Q179" s="151">
        <v>0</v>
      </c>
      <c r="R179" s="151">
        <v>4.7207757392502372E-4</v>
      </c>
      <c r="S179" s="151">
        <v>0</v>
      </c>
      <c r="T179" s="151">
        <v>0</v>
      </c>
      <c r="U179" s="151">
        <v>0</v>
      </c>
      <c r="V179" s="151">
        <v>4.3772868529137442E-2</v>
      </c>
      <c r="W179" s="151">
        <v>3.1827389629587456E-2</v>
      </c>
      <c r="X179" s="151">
        <v>0.12423861076209335</v>
      </c>
      <c r="Y179" s="151">
        <v>4.0828854075204216E-3</v>
      </c>
      <c r="Z179" s="152">
        <v>9.8010173800512309E-4</v>
      </c>
      <c r="AA179" s="3"/>
      <c r="AB179" s="3"/>
      <c r="AC179" s="3"/>
      <c r="AD179" s="3"/>
    </row>
    <row r="180" spans="1:83" ht="16.350000000000001" customHeight="1" thickBot="1" x14ac:dyDescent="0.35">
      <c r="A180" s="144" t="s">
        <v>89</v>
      </c>
      <c r="B180" s="142">
        <v>3.3584194722277874E-2</v>
      </c>
      <c r="C180" s="149">
        <v>2.6646710270522053E-2</v>
      </c>
      <c r="D180" s="149">
        <v>4.6955408148935023E-3</v>
      </c>
      <c r="E180" s="149">
        <v>3.8874507773990987E-5</v>
      </c>
      <c r="F180" s="149">
        <v>3.223801198322971E-3</v>
      </c>
      <c r="G180" s="149">
        <v>0</v>
      </c>
      <c r="H180" s="149">
        <v>0.64582569414600011</v>
      </c>
      <c r="I180" s="149">
        <v>2.5566989591115779E-7</v>
      </c>
      <c r="J180" s="149">
        <v>1.9407838409363599E-2</v>
      </c>
      <c r="K180" s="149">
        <v>3.3918569708479992E-4</v>
      </c>
      <c r="L180" s="149">
        <v>5.6903786413292669E-2</v>
      </c>
      <c r="M180" s="149">
        <v>0</v>
      </c>
      <c r="N180" s="149">
        <v>0</v>
      </c>
      <c r="O180" s="149">
        <v>2.6435923161656802E-3</v>
      </c>
      <c r="P180" s="149">
        <v>1.4761690272760042E-3</v>
      </c>
      <c r="Q180" s="149">
        <v>0</v>
      </c>
      <c r="R180" s="149">
        <v>2.9875471236051788E-4</v>
      </c>
      <c r="S180" s="149">
        <v>0</v>
      </c>
      <c r="T180" s="149">
        <v>0</v>
      </c>
      <c r="U180" s="149">
        <v>0</v>
      </c>
      <c r="V180" s="149">
        <v>4.3775805072059387E-2</v>
      </c>
      <c r="W180" s="149">
        <v>3.1829524799131551E-2</v>
      </c>
      <c r="X180" s="149">
        <v>0.12424694542293066</v>
      </c>
      <c r="Y180" s="149">
        <v>4.0831593116223801E-3</v>
      </c>
      <c r="Z180" s="150">
        <v>9.8016748902666324E-4</v>
      </c>
      <c r="AA180" s="3"/>
      <c r="AB180" s="3"/>
      <c r="AC180" s="3"/>
      <c r="AD180" s="3"/>
    </row>
    <row r="181" spans="1:83" ht="16.350000000000001" customHeight="1" x14ac:dyDescent="0.3">
      <c r="A181" s="42"/>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row>
    <row r="182" spans="1:83" ht="15" thickBot="1" x14ac:dyDescent="0.35">
      <c r="A182" s="1" t="s">
        <v>64</v>
      </c>
    </row>
    <row r="183" spans="1:83" ht="15" thickBot="1" x14ac:dyDescent="0.35">
      <c r="B183" s="136">
        <v>1</v>
      </c>
      <c r="C183" s="137">
        <v>2</v>
      </c>
      <c r="D183" s="137">
        <v>3</v>
      </c>
      <c r="E183" s="137">
        <v>4</v>
      </c>
      <c r="F183" s="137">
        <v>5</v>
      </c>
      <c r="G183" s="137">
        <v>6</v>
      </c>
      <c r="H183" s="137">
        <v>7</v>
      </c>
      <c r="I183" s="137">
        <v>8</v>
      </c>
      <c r="J183" s="137">
        <v>9</v>
      </c>
      <c r="K183" s="137">
        <v>10</v>
      </c>
      <c r="L183" s="137">
        <v>11</v>
      </c>
      <c r="M183" s="137">
        <v>12</v>
      </c>
      <c r="N183" s="137">
        <v>13</v>
      </c>
      <c r="O183" s="137">
        <v>14</v>
      </c>
      <c r="P183" s="137">
        <v>15</v>
      </c>
      <c r="Q183" s="137">
        <v>16</v>
      </c>
      <c r="R183" s="137">
        <v>17</v>
      </c>
      <c r="S183" s="137">
        <v>18</v>
      </c>
      <c r="T183" s="137">
        <v>19</v>
      </c>
      <c r="U183" s="137">
        <v>20</v>
      </c>
      <c r="V183" s="137">
        <v>21</v>
      </c>
      <c r="W183" s="137">
        <v>22</v>
      </c>
      <c r="X183" s="137">
        <v>23</v>
      </c>
      <c r="Y183" s="137">
        <v>24</v>
      </c>
      <c r="Z183" s="138">
        <v>25</v>
      </c>
    </row>
    <row r="184" spans="1:83" x14ac:dyDescent="0.3">
      <c r="A184" s="145" t="s">
        <v>88</v>
      </c>
      <c r="B184" s="5">
        <v>1.4172695898806587</v>
      </c>
      <c r="C184" s="6">
        <v>1.1622201181012297</v>
      </c>
      <c r="D184" s="6">
        <v>1.4110066358693598</v>
      </c>
      <c r="E184" s="6">
        <v>3.548729710102962</v>
      </c>
      <c r="F184" s="6">
        <v>0.66708792426438279</v>
      </c>
      <c r="G184" s="6">
        <v>0</v>
      </c>
      <c r="H184" s="6">
        <v>3.3935668054264068</v>
      </c>
      <c r="I184" s="6">
        <v>1.4110066358693598</v>
      </c>
      <c r="J184" s="6">
        <v>2.6724973367602152</v>
      </c>
      <c r="K184" s="6">
        <v>3.3935668054264068</v>
      </c>
      <c r="L184" s="6">
        <v>1.1254097659278426</v>
      </c>
      <c r="M184" s="6">
        <v>3.3935668054264068</v>
      </c>
      <c r="N184" s="6">
        <v>3.3935668054264068</v>
      </c>
      <c r="O184" s="6">
        <v>3.3935668054264068</v>
      </c>
      <c r="P184" s="6">
        <v>3.3935668054264068</v>
      </c>
      <c r="Q184" s="6">
        <v>3.3935668054264068</v>
      </c>
      <c r="R184" s="6">
        <v>3.3935668054264068</v>
      </c>
      <c r="S184" s="6">
        <v>3.3935668054264068</v>
      </c>
      <c r="T184" s="6">
        <v>3.3935668054264068</v>
      </c>
      <c r="U184" s="6">
        <v>3.3935668054264068</v>
      </c>
      <c r="V184" s="6">
        <v>2.4384528615737731</v>
      </c>
      <c r="W184" s="6">
        <v>1.6761609803702726</v>
      </c>
      <c r="X184" s="6">
        <v>2.2468201956000771</v>
      </c>
      <c r="Y184" s="6">
        <v>3.3935668054264068</v>
      </c>
      <c r="Z184" s="45">
        <v>3.3935668054264068</v>
      </c>
    </row>
    <row r="185" spans="1:83" ht="15" thickBot="1" x14ac:dyDescent="0.35">
      <c r="A185" s="146" t="s">
        <v>89</v>
      </c>
      <c r="B185" s="93">
        <v>1.0902073768312759</v>
      </c>
      <c r="C185" s="94">
        <v>0.89401547546248428</v>
      </c>
      <c r="D185" s="94">
        <v>1.0853897198995075</v>
      </c>
      <c r="E185" s="94">
        <v>2.7297920846945862</v>
      </c>
      <c r="F185" s="94">
        <v>0.51314455712644835</v>
      </c>
      <c r="G185" s="94">
        <v>0</v>
      </c>
      <c r="H185" s="94">
        <v>2.6104360041741588</v>
      </c>
      <c r="I185" s="94">
        <v>1.0853897198995075</v>
      </c>
      <c r="J185" s="94">
        <v>2.0557671821232426</v>
      </c>
      <c r="K185" s="94">
        <v>2.6104360041741588</v>
      </c>
      <c r="L185" s="94">
        <v>0.8656998199444943</v>
      </c>
      <c r="M185" s="94">
        <v>2.6104360041741588</v>
      </c>
      <c r="N185" s="94">
        <v>2.6104360041741588</v>
      </c>
      <c r="O185" s="94">
        <v>2.6104360041741588</v>
      </c>
      <c r="P185" s="94">
        <v>2.6104360041741588</v>
      </c>
      <c r="Q185" s="94">
        <v>2.6104360041741588</v>
      </c>
      <c r="R185" s="94">
        <v>2.6104360041741588</v>
      </c>
      <c r="S185" s="94">
        <v>2.6104360041741588</v>
      </c>
      <c r="T185" s="94">
        <v>2.6104360041741588</v>
      </c>
      <c r="U185" s="94">
        <v>2.6104360041741588</v>
      </c>
      <c r="V185" s="94">
        <v>1.8757329704413637</v>
      </c>
      <c r="W185" s="94">
        <v>1.2893546002848248</v>
      </c>
      <c r="X185" s="94">
        <v>1.7283232273846747</v>
      </c>
      <c r="Y185" s="94">
        <v>2.6104360041741588</v>
      </c>
      <c r="Z185" s="95">
        <v>2.6104360041741588</v>
      </c>
    </row>
    <row r="186" spans="1:83" x14ac:dyDescent="0.3">
      <c r="A186" s="41"/>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83" x14ac:dyDescent="0.3">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9" spans="1:83" x14ac:dyDescent="0.3">
      <c r="A189" s="1" t="s">
        <v>87</v>
      </c>
    </row>
    <row r="190" spans="1:83" ht="15" thickBot="1" x14ac:dyDescent="0.35">
      <c r="A190" s="41" t="s">
        <v>88</v>
      </c>
    </row>
    <row r="191" spans="1:83" ht="15" thickBot="1" x14ac:dyDescent="0.35">
      <c r="B191" s="55">
        <v>2019</v>
      </c>
      <c r="C191" s="55">
        <v>2020</v>
      </c>
      <c r="D191" s="55">
        <v>2021</v>
      </c>
      <c r="E191" s="55">
        <v>2022</v>
      </c>
      <c r="F191" s="55">
        <v>2023</v>
      </c>
      <c r="G191" s="55">
        <v>2024</v>
      </c>
      <c r="H191" s="55">
        <v>2025</v>
      </c>
      <c r="I191" s="55">
        <v>2026</v>
      </c>
      <c r="J191" s="55">
        <v>2027</v>
      </c>
      <c r="K191" s="55">
        <v>2028</v>
      </c>
      <c r="L191" s="55">
        <v>2029</v>
      </c>
      <c r="M191" s="55">
        <v>2030</v>
      </c>
      <c r="N191" s="55">
        <v>2031</v>
      </c>
      <c r="O191" s="55">
        <v>2032</v>
      </c>
      <c r="P191" s="55">
        <v>2033</v>
      </c>
      <c r="Q191" s="55">
        <v>2034</v>
      </c>
      <c r="R191" s="55">
        <v>2035</v>
      </c>
      <c r="S191" s="55">
        <v>2036</v>
      </c>
      <c r="T191" s="55">
        <v>2037</v>
      </c>
      <c r="U191" s="55">
        <v>2038</v>
      </c>
      <c r="V191" s="55">
        <v>2039</v>
      </c>
      <c r="W191" s="55">
        <v>2040</v>
      </c>
      <c r="X191" s="55">
        <v>2041</v>
      </c>
      <c r="Y191" s="55">
        <v>2042</v>
      </c>
      <c r="Z191" s="55">
        <v>2043</v>
      </c>
      <c r="AA191" s="55">
        <v>2044</v>
      </c>
      <c r="AB191" s="55">
        <v>2045</v>
      </c>
      <c r="AC191" s="55">
        <v>2046</v>
      </c>
      <c r="AD191" s="55">
        <v>2047</v>
      </c>
      <c r="AE191" s="55">
        <v>2048</v>
      </c>
      <c r="AF191" s="55">
        <v>2049</v>
      </c>
      <c r="AG191" s="55">
        <v>2050</v>
      </c>
      <c r="AH191" s="55">
        <v>2051</v>
      </c>
      <c r="AI191" s="55">
        <v>2052</v>
      </c>
      <c r="AJ191" s="55">
        <v>2053</v>
      </c>
      <c r="AK191" s="55">
        <v>2054</v>
      </c>
      <c r="AL191" s="55">
        <v>2055</v>
      </c>
      <c r="AM191" s="55">
        <v>2056</v>
      </c>
      <c r="AN191" s="55">
        <v>2057</v>
      </c>
      <c r="AO191" s="55">
        <v>2058</v>
      </c>
      <c r="AP191" s="55">
        <v>2059</v>
      </c>
      <c r="AQ191" s="55">
        <v>2060</v>
      </c>
      <c r="AR191" s="55">
        <v>2061</v>
      </c>
      <c r="AS191" s="55">
        <v>2062</v>
      </c>
      <c r="AT191" s="55">
        <v>2063</v>
      </c>
      <c r="AU191" s="55">
        <v>2064</v>
      </c>
      <c r="AV191" s="55">
        <v>2065</v>
      </c>
      <c r="AW191" s="55">
        <v>2066</v>
      </c>
      <c r="AX191" s="55">
        <v>2067</v>
      </c>
      <c r="AY191" s="55">
        <v>2068</v>
      </c>
      <c r="AZ191" s="55">
        <v>2069</v>
      </c>
      <c r="BA191" s="55">
        <v>2070</v>
      </c>
      <c r="BB191" s="55">
        <v>2071</v>
      </c>
      <c r="BC191" s="55">
        <v>2072</v>
      </c>
      <c r="BD191" s="55">
        <v>2073</v>
      </c>
      <c r="BE191" s="55">
        <v>2074</v>
      </c>
      <c r="BF191" s="55">
        <v>2075</v>
      </c>
      <c r="BG191" s="55">
        <v>2076</v>
      </c>
      <c r="BH191" s="55">
        <v>2077</v>
      </c>
      <c r="BI191" s="55">
        <v>2078</v>
      </c>
      <c r="BJ191" s="55">
        <v>2079</v>
      </c>
      <c r="BK191" s="55">
        <v>2080</v>
      </c>
      <c r="BL191" s="55">
        <v>2081</v>
      </c>
      <c r="BM191" s="55">
        <v>2082</v>
      </c>
      <c r="BN191" s="55">
        <v>2083</v>
      </c>
      <c r="BO191" s="55">
        <v>2084</v>
      </c>
      <c r="BP191" s="55">
        <v>2085</v>
      </c>
      <c r="BQ191" s="55">
        <v>2086</v>
      </c>
      <c r="BR191" s="55">
        <v>2087</v>
      </c>
      <c r="BS191" s="55">
        <v>2088</v>
      </c>
      <c r="BT191" s="55">
        <v>2089</v>
      </c>
      <c r="BU191" s="55">
        <v>2090</v>
      </c>
      <c r="BV191" s="55">
        <v>2091</v>
      </c>
      <c r="BW191" s="55">
        <v>2092</v>
      </c>
      <c r="BX191" s="55">
        <v>2093</v>
      </c>
      <c r="BY191" s="55">
        <v>2094</v>
      </c>
      <c r="BZ191" s="55">
        <v>2095</v>
      </c>
      <c r="CA191" s="55">
        <v>2096</v>
      </c>
      <c r="CB191" s="55">
        <v>2097</v>
      </c>
      <c r="CC191" s="55">
        <v>2098</v>
      </c>
      <c r="CD191" s="55">
        <v>2099</v>
      </c>
      <c r="CE191" s="81">
        <v>2100</v>
      </c>
    </row>
    <row r="192" spans="1:83" ht="15" thickBot="1" x14ac:dyDescent="0.35">
      <c r="A192" s="29" t="s">
        <v>168</v>
      </c>
      <c r="B192" s="153">
        <v>46.363288283683566</v>
      </c>
      <c r="C192" s="51">
        <v>45.676383186097809</v>
      </c>
      <c r="D192" s="51">
        <v>44.999655076179593</v>
      </c>
      <c r="E192" s="51">
        <v>44.332953174616961</v>
      </c>
      <c r="F192" s="51">
        <v>43.676128936000737</v>
      </c>
      <c r="G192" s="51">
        <v>43.029036015727655</v>
      </c>
      <c r="H192" s="51">
        <v>42.391530237393852</v>
      </c>
      <c r="I192" s="51">
        <v>41.763469560671439</v>
      </c>
      <c r="J192" s="51">
        <v>41.144714049661054</v>
      </c>
      <c r="K192" s="51">
        <v>40.535125841713196</v>
      </c>
      <c r="L192" s="51">
        <v>39.934569116711629</v>
      </c>
      <c r="M192" s="51">
        <v>39.342910066811719</v>
      </c>
      <c r="N192" s="51">
        <v>38.760016866627261</v>
      </c>
      <c r="O192" s="51">
        <v>38.185759643858923</v>
      </c>
      <c r="P192" s="51">
        <v>37.620010450357867</v>
      </c>
      <c r="Q192" s="51">
        <v>37.062643233618097</v>
      </c>
      <c r="R192" s="51">
        <v>36.513533808691179</v>
      </c>
      <c r="S192" s="51">
        <v>35.972559830517021</v>
      </c>
      <c r="T192" s="51">
        <v>35.439600766664626</v>
      </c>
      <c r="U192" s="51">
        <v>34.914537870476714</v>
      </c>
      <c r="V192" s="51">
        <v>34.397254154612206</v>
      </c>
      <c r="W192" s="51">
        <v>33.887634364980698</v>
      </c>
      <c r="X192" s="34">
        <v>33.385564955063124</v>
      </c>
      <c r="Y192" s="34">
        <v>32.890934060612878</v>
      </c>
      <c r="Z192" s="34">
        <v>32.403631474731732</v>
      </c>
      <c r="AA192" s="34">
        <v>31.923548623315074</v>
      </c>
      <c r="AB192" s="34">
        <v>31.450578540860871</v>
      </c>
      <c r="AC192" s="34">
        <v>30.984615846637105</v>
      </c>
      <c r="AD192" s="34">
        <v>30.52555672120226</v>
      </c>
      <c r="AE192" s="34">
        <v>30.073298883273708</v>
      </c>
      <c r="AF192" s="34">
        <v>29.627741566938781</v>
      </c>
      <c r="AG192" s="34">
        <v>29.18878549920349</v>
      </c>
      <c r="AH192" s="34">
        <v>28.756332877873863</v>
      </c>
      <c r="AI192" s="34">
        <v>28.330287349765019</v>
      </c>
      <c r="AJ192" s="34">
        <v>27.910553989233055</v>
      </c>
      <c r="AK192" s="34">
        <v>27.497039277025003</v>
      </c>
      <c r="AL192" s="34">
        <v>27.089651079442149</v>
      </c>
      <c r="AM192" s="34">
        <v>26.688298627812074</v>
      </c>
      <c r="AN192" s="34">
        <v>26.292892498264816</v>
      </c>
      <c r="AO192" s="34">
        <v>25.903344591808658</v>
      </c>
      <c r="AP192" s="34">
        <v>25.519568114701112</v>
      </c>
      <c r="AQ192" s="34">
        <v>25.141477559110726</v>
      </c>
      <c r="AR192" s="34">
        <v>24.768988684065413</v>
      </c>
      <c r="AS192" s="34">
        <v>24.402018496682992</v>
      </c>
      <c r="AT192" s="34">
        <v>24.040485233679899</v>
      </c>
      <c r="AU192" s="34">
        <v>23.684308343153749</v>
      </c>
      <c r="AV192" s="34">
        <v>23.33340846663592</v>
      </c>
      <c r="AW192" s="34">
        <v>22.987707421409944</v>
      </c>
      <c r="AX192" s="34">
        <v>22.647128183091908</v>
      </c>
      <c r="AY192" s="34">
        <v>22.311594868468955</v>
      </c>
      <c r="AZ192" s="34">
        <v>21.981032718592004</v>
      </c>
      <c r="BA192" s="34">
        <v>21.655368082118972</v>
      </c>
      <c r="BB192" s="34">
        <v>21.334528398904823</v>
      </c>
      <c r="BC192" s="34">
        <v>21.018442183834672</v>
      </c>
      <c r="BD192" s="34">
        <v>20.707039010896477</v>
      </c>
      <c r="BE192" s="34">
        <v>20.400249497489646</v>
      </c>
      <c r="BF192" s="34">
        <v>20.098005288966188</v>
      </c>
      <c r="BG192" s="34">
        <v>19.80023904340084</v>
      </c>
      <c r="BH192" s="34">
        <v>19.506884416586875</v>
      </c>
      <c r="BI192" s="34">
        <v>19.217876047254162</v>
      </c>
      <c r="BJ192" s="34">
        <v>18.933149542506317</v>
      </c>
      <c r="BK192" s="34">
        <v>18.652641463473497</v>
      </c>
      <c r="BL192" s="34">
        <v>18.376289311177853</v>
      </c>
      <c r="BM192" s="34">
        <v>18.104031512608355</v>
      </c>
      <c r="BN192" s="34">
        <v>17.835807407001933</v>
      </c>
      <c r="BO192" s="34">
        <v>17.571557232327869</v>
      </c>
      <c r="BP192" s="34">
        <v>17.311222111972448</v>
      </c>
      <c r="BQ192" s="34">
        <v>17.054744041620872</v>
      </c>
      <c r="BR192" s="34">
        <v>16.802065876333518</v>
      </c>
      <c r="BS192" s="34">
        <v>16.553131317813715</v>
      </c>
      <c r="BT192" s="34">
        <v>16.307884901864092</v>
      </c>
      <c r="BU192" s="34">
        <v>16.06627198602882</v>
      </c>
      <c r="BV192" s="34">
        <v>15.828238737418923</v>
      </c>
      <c r="BW192" s="34">
        <v>15.593732120717975</v>
      </c>
      <c r="BX192" s="34">
        <v>15.362699886365489</v>
      </c>
      <c r="BY192" s="34">
        <v>15.135090558915381</v>
      </c>
      <c r="BZ192" s="34">
        <v>14.910853425566932</v>
      </c>
      <c r="CA192" s="34">
        <v>14.689938524865628</v>
      </c>
      <c r="CB192" s="34">
        <v>14.472296635571448</v>
      </c>
      <c r="CC192" s="34">
        <v>14.257879265692065</v>
      </c>
      <c r="CD192" s="34">
        <v>14.046638641678502</v>
      </c>
      <c r="CE192" s="35">
        <v>14.046638641678502</v>
      </c>
    </row>
    <row r="193" spans="1:83" ht="15" thickBot="1" x14ac:dyDescent="0.35">
      <c r="A193" s="30" t="s">
        <v>169</v>
      </c>
      <c r="B193" s="7">
        <v>22.623538654096027</v>
      </c>
      <c r="C193" s="44">
        <v>22.288354835126139</v>
      </c>
      <c r="D193" s="44">
        <v>21.958137002875528</v>
      </c>
      <c r="E193" s="44">
        <v>21.632811582718269</v>
      </c>
      <c r="F193" s="44">
        <v>21.312306090088857</v>
      </c>
      <c r="G193" s="44">
        <v>20.996549114332204</v>
      </c>
      <c r="H193" s="44">
        <v>20.685470302792854</v>
      </c>
      <c r="I193" s="44">
        <v>20.37900034514001</v>
      </c>
      <c r="J193" s="44">
        <v>20.077070957924718</v>
      </c>
      <c r="K193" s="44">
        <v>19.779614869365901</v>
      </c>
      <c r="L193" s="44">
        <v>19.486565804361771</v>
      </c>
      <c r="M193" s="44">
        <v>19.197858469723322</v>
      </c>
      <c r="N193" s="44">
        <v>18.91342853962659</v>
      </c>
      <c r="O193" s="44">
        <v>18.633212641280451</v>
      </c>
      <c r="P193" s="44">
        <v>18.357148340806766</v>
      </c>
      <c r="Q193" s="44">
        <v>18.085174129329719</v>
      </c>
      <c r="R193" s="44">
        <v>17.817229409271228</v>
      </c>
      <c r="S193" s="44">
        <v>17.553254480849461</v>
      </c>
      <c r="T193" s="44">
        <v>17.293190528777302</v>
      </c>
      <c r="U193" s="44">
        <v>17.036979609157971</v>
      </c>
      <c r="V193" s="44">
        <v>16.784564636574725</v>
      </c>
      <c r="W193" s="44">
        <v>16.535889371371884</v>
      </c>
      <c r="X193" s="6">
        <v>16.290898407124278</v>
      </c>
      <c r="Y193" s="6">
        <v>16.049537158292335</v>
      </c>
      <c r="Z193" s="6">
        <v>15.811751848060082</v>
      </c>
      <c r="AA193" s="6">
        <v>15.577489496353341</v>
      </c>
      <c r="AB193" s="6">
        <v>15.346697908035404</v>
      </c>
      <c r="AC193" s="6">
        <v>15.11932566127766</v>
      </c>
      <c r="AD193" s="6">
        <v>14.895322096102459</v>
      </c>
      <c r="AE193" s="6">
        <v>14.674637303095764</v>
      </c>
      <c r="AF193" s="6">
        <v>14.457222112287006</v>
      </c>
      <c r="AG193" s="6">
        <v>14.243028082193712</v>
      </c>
      <c r="AH193" s="6">
        <v>14.032007489028429</v>
      </c>
      <c r="AI193" s="6">
        <v>13.824113316065565</v>
      </c>
      <c r="AJ193" s="6">
        <v>13.619299243165772</v>
      </c>
      <c r="AK193" s="6">
        <v>13.417519636455507</v>
      </c>
      <c r="AL193" s="6">
        <v>13.218729538159531</v>
      </c>
      <c r="AM193" s="6">
        <v>13.02288465658402</v>
      </c>
      <c r="AN193" s="6">
        <v>12.829941356248117</v>
      </c>
      <c r="AO193" s="6">
        <v>12.639856648161642</v>
      </c>
      <c r="AP193" s="6">
        <v>12.45258818024689</v>
      </c>
      <c r="AQ193" s="6">
        <v>12.268094227902315</v>
      </c>
      <c r="AR193" s="6">
        <v>12.086333684706027</v>
      </c>
      <c r="AS193" s="6">
        <v>11.907266053257013</v>
      </c>
      <c r="AT193" s="6">
        <v>11.730851436152074</v>
      </c>
      <c r="AU193" s="6">
        <v>11.557050527096408</v>
      </c>
      <c r="AV193" s="6">
        <v>11.385824602145947</v>
      </c>
      <c r="AW193" s="6">
        <v>11.217135511079391</v>
      </c>
      <c r="AX193" s="6">
        <v>11.050945668898107</v>
      </c>
      <c r="AY193" s="6">
        <v>10.887218047451967</v>
      </c>
      <c r="AZ193" s="6">
        <v>10.725916167189212</v>
      </c>
      <c r="BA193" s="6">
        <v>10.567004089028599</v>
      </c>
      <c r="BB193" s="6">
        <v>10.410446406351943</v>
      </c>
      <c r="BC193" s="6">
        <v>10.25620823711529</v>
      </c>
      <c r="BD193" s="6">
        <v>10.104255216076989</v>
      </c>
      <c r="BE193" s="6">
        <v>9.9545534871408794</v>
      </c>
      <c r="BF193" s="6">
        <v>9.807069695812956</v>
      </c>
      <c r="BG193" s="6">
        <v>9.6617709817697701</v>
      </c>
      <c r="BH193" s="6">
        <v>9.5186249715369424</v>
      </c>
      <c r="BI193" s="6">
        <v>9.3775997712761399</v>
      </c>
      <c r="BJ193" s="6">
        <v>9.2386639596789397</v>
      </c>
      <c r="BK193" s="6">
        <v>9.1017865809659497</v>
      </c>
      <c r="BL193" s="6">
        <v>8.9669371379896763</v>
      </c>
      <c r="BM193" s="6">
        <v>8.8340855854395581</v>
      </c>
      <c r="BN193" s="6">
        <v>8.7032023231476803</v>
      </c>
      <c r="BO193" s="6">
        <v>8.5742581894936798</v>
      </c>
      <c r="BP193" s="6">
        <v>8.4472244549073352</v>
      </c>
      <c r="BQ193" s="6">
        <v>8.3220728154674539</v>
      </c>
      <c r="BR193" s="6">
        <v>8.1987753865955622</v>
      </c>
      <c r="BS193" s="6">
        <v>8.0773046968430595</v>
      </c>
      <c r="BT193" s="6">
        <v>7.9576336817703996</v>
      </c>
      <c r="BU193" s="6">
        <v>7.8397356779169538</v>
      </c>
      <c r="BV193" s="6">
        <v>7.723584416860235</v>
      </c>
      <c r="BW193" s="6">
        <v>7.6091540193631211</v>
      </c>
      <c r="BX193" s="6">
        <v>7.4964189896077995</v>
      </c>
      <c r="BY193" s="6">
        <v>7.385354209515131</v>
      </c>
      <c r="BZ193" s="6">
        <v>7.2759349331481946</v>
      </c>
      <c r="CA193" s="6">
        <v>7.1681367811987213</v>
      </c>
      <c r="CB193" s="6">
        <v>7.0619357355552399</v>
      </c>
      <c r="CC193" s="6">
        <v>6.9573081339516891</v>
      </c>
      <c r="CD193" s="6">
        <v>6.8542306646953062</v>
      </c>
      <c r="CE193" s="45">
        <v>6.8542306646953062</v>
      </c>
    </row>
    <row r="194" spans="1:83" ht="15" thickBot="1" x14ac:dyDescent="0.35">
      <c r="A194" s="30" t="s">
        <v>170</v>
      </c>
      <c r="B194" s="7">
        <v>11.331596022501524</v>
      </c>
      <c r="C194" s="44">
        <v>11.163710366419229</v>
      </c>
      <c r="D194" s="44">
        <v>10.998312055761376</v>
      </c>
      <c r="E194" s="44">
        <v>10.835364238736068</v>
      </c>
      <c r="F194" s="44">
        <v>10.674830609536917</v>
      </c>
      <c r="G194" s="44">
        <v>10.51667540025389</v>
      </c>
      <c r="H194" s="44">
        <v>10.360863372903978</v>
      </c>
      <c r="I194" s="44">
        <v>10.207359811579966</v>
      </c>
      <c r="J194" s="44">
        <v>10.056130514715496</v>
      </c>
      <c r="K194" s="44">
        <v>9.9071417874647434</v>
      </c>
      <c r="L194" s="44">
        <v>9.7603604341949985</v>
      </c>
      <c r="M194" s="44">
        <v>9.6157537510904643</v>
      </c>
      <c r="N194" s="44">
        <v>9.4732895188656361</v>
      </c>
      <c r="O194" s="44">
        <v>9.3329359955866469</v>
      </c>
      <c r="P194" s="44">
        <v>9.1946619095989579</v>
      </c>
      <c r="Q194" s="44">
        <v>9.0584364525598424</v>
      </c>
      <c r="R194" s="44">
        <v>8.9242292725740828</v>
      </c>
      <c r="S194" s="44">
        <v>8.7920104674313837</v>
      </c>
      <c r="T194" s="44">
        <v>8.6617505779439661</v>
      </c>
      <c r="U194" s="44">
        <v>8.5334205813828721</v>
      </c>
      <c r="V194" s="44">
        <v>8.4069918850115251</v>
      </c>
      <c r="W194" s="44">
        <v>8.2824363197150763</v>
      </c>
      <c r="X194" s="6">
        <v>8.1597261337241509</v>
      </c>
      <c r="Y194" s="6">
        <v>8.0388339864315839</v>
      </c>
      <c r="Z194" s="6">
        <v>7.9197329423007528</v>
      </c>
      <c r="AA194" s="6">
        <v>7.802396464864171</v>
      </c>
      <c r="AB194" s="6">
        <v>7.6867984108109937</v>
      </c>
      <c r="AC194" s="6">
        <v>7.572913024162129</v>
      </c>
      <c r="AD194" s="6">
        <v>7.4607149305316298</v>
      </c>
      <c r="AE194" s="6">
        <v>7.3501791314731353</v>
      </c>
      <c r="AF194" s="6">
        <v>7.241280998910046</v>
      </c>
      <c r="AG194" s="6">
        <v>7.1339962696482377</v>
      </c>
      <c r="AH194" s="6">
        <v>7.0283010399700672</v>
      </c>
      <c r="AI194" s="6">
        <v>6.9241717603084751</v>
      </c>
      <c r="AJ194" s="6">
        <v>6.8215852299999886</v>
      </c>
      <c r="AK194" s="6">
        <v>6.720518592115468</v>
      </c>
      <c r="AL194" s="6">
        <v>6.6209493283674412</v>
      </c>
      <c r="AM194" s="6">
        <v>6.522855254092879</v>
      </c>
      <c r="AN194" s="6">
        <v>6.4262145133103221</v>
      </c>
      <c r="AO194" s="6">
        <v>6.3310055738502218</v>
      </c>
      <c r="AP194" s="6">
        <v>6.2372072225574389</v>
      </c>
      <c r="AQ194" s="6">
        <v>6.1447985605648174</v>
      </c>
      <c r="AR194" s="6">
        <v>6.0537589986367868</v>
      </c>
      <c r="AS194" s="6">
        <v>5.9640682525819448</v>
      </c>
      <c r="AT194" s="6">
        <v>5.8757063387336208</v>
      </c>
      <c r="AU194" s="6">
        <v>5.7886535694973738</v>
      </c>
      <c r="AV194" s="6">
        <v>5.7028905489644872</v>
      </c>
      <c r="AW194" s="6">
        <v>5.6183981685904252</v>
      </c>
      <c r="AX194" s="6">
        <v>5.5351576029373319</v>
      </c>
      <c r="AY194" s="6">
        <v>5.4531503054796095</v>
      </c>
      <c r="AZ194" s="6">
        <v>5.3723580044716268</v>
      </c>
      <c r="BA194" s="6">
        <v>5.292762698876663</v>
      </c>
      <c r="BB194" s="6">
        <v>5.214346654356163</v>
      </c>
      <c r="BC194" s="6">
        <v>5.1370923993184121</v>
      </c>
      <c r="BD194" s="6">
        <v>5.0609827210257556</v>
      </c>
      <c r="BE194" s="6">
        <v>4.9860006617594923</v>
      </c>
      <c r="BF194" s="6">
        <v>4.9121295150415873</v>
      </c>
      <c r="BG194" s="6">
        <v>4.8393528219123603</v>
      </c>
      <c r="BH194" s="6">
        <v>4.7676543672633311</v>
      </c>
      <c r="BI194" s="6">
        <v>4.6970181762243808</v>
      </c>
      <c r="BJ194" s="6">
        <v>4.6274285106044619</v>
      </c>
      <c r="BK194" s="6">
        <v>4.5588698653850175</v>
      </c>
      <c r="BL194" s="6">
        <v>4.4913269652653751</v>
      </c>
      <c r="BM194" s="6">
        <v>4.4247847612593043</v>
      </c>
      <c r="BN194" s="6">
        <v>4.3592284273420132</v>
      </c>
      <c r="BO194" s="6">
        <v>4.294643357146815</v>
      </c>
      <c r="BP194" s="6">
        <v>4.231015160710732</v>
      </c>
      <c r="BQ194" s="6">
        <v>4.1683296612683289</v>
      </c>
      <c r="BR194" s="6">
        <v>4.106572892093034</v>
      </c>
      <c r="BS194" s="6">
        <v>4.0457310933852639</v>
      </c>
      <c r="BT194" s="6">
        <v>3.9857907092066567</v>
      </c>
      <c r="BU194" s="6">
        <v>3.926738384459719</v>
      </c>
      <c r="BV194" s="6">
        <v>3.8685609619122276</v>
      </c>
      <c r="BW194" s="6">
        <v>3.8112454792657142</v>
      </c>
      <c r="BX194" s="6">
        <v>3.7547791662673848</v>
      </c>
      <c r="BY194" s="6">
        <v>3.6991494418648219</v>
      </c>
      <c r="BZ194" s="6">
        <v>3.6443439114028537</v>
      </c>
      <c r="CA194" s="6">
        <v>3.5903503638619383</v>
      </c>
      <c r="CB194" s="6">
        <v>3.5371567691374772</v>
      </c>
      <c r="CC194" s="6">
        <v>3.4847512753594283</v>
      </c>
      <c r="CD194" s="6">
        <v>3.4331222062516353</v>
      </c>
      <c r="CE194" s="45">
        <v>3.4331222062516353</v>
      </c>
    </row>
    <row r="195" spans="1:83" ht="15" thickBot="1" x14ac:dyDescent="0.35">
      <c r="A195" s="30" t="s">
        <v>171</v>
      </c>
      <c r="B195" s="7">
        <v>10.473434405906026</v>
      </c>
      <c r="C195" s="44">
        <v>10.421707437553989</v>
      </c>
      <c r="D195" s="44">
        <v>10.370235942158692</v>
      </c>
      <c r="E195" s="44">
        <v>10.319018657971501</v>
      </c>
      <c r="F195" s="44">
        <v>10.268054329475399</v>
      </c>
      <c r="G195" s="44">
        <v>10.21734170735421</v>
      </c>
      <c r="H195" s="44">
        <v>10.166879548461973</v>
      </c>
      <c r="I195" s="44">
        <v>10.116666615792466</v>
      </c>
      <c r="J195" s="44">
        <v>10.066701678448885</v>
      </c>
      <c r="K195" s="44">
        <v>10.016983511613669</v>
      </c>
      <c r="L195" s="44">
        <v>9.967510896518478</v>
      </c>
      <c r="M195" s="44">
        <v>9.9182826204143133</v>
      </c>
      <c r="N195" s="44">
        <v>9.8692974765417922</v>
      </c>
      <c r="O195" s="44">
        <v>9.8205542641015615</v>
      </c>
      <c r="P195" s="44">
        <v>9.7720517882248625</v>
      </c>
      <c r="Q195" s="44">
        <v>9.7237888599442464</v>
      </c>
      <c r="R195" s="44">
        <v>9.6757642961644237</v>
      </c>
      <c r="S195" s="44">
        <v>9.6279769196332623</v>
      </c>
      <c r="T195" s="44">
        <v>9.5804255589129266</v>
      </c>
      <c r="U195" s="44">
        <v>9.533109048351168</v>
      </c>
      <c r="V195" s="44">
        <v>9.4860262280527472</v>
      </c>
      <c r="W195" s="44">
        <v>9.4391759438509979</v>
      </c>
      <c r="X195" s="6">
        <v>9.3925570472795386</v>
      </c>
      <c r="Y195" s="6">
        <v>9.3461683955441206</v>
      </c>
      <c r="Z195" s="6">
        <v>9.3000088514946064</v>
      </c>
      <c r="AA195" s="6">
        <v>9.2540772835971019</v>
      </c>
      <c r="AB195" s="6">
        <v>9.2083725659062186</v>
      </c>
      <c r="AC195" s="6">
        <v>9.1628935780374636</v>
      </c>
      <c r="AD195" s="6">
        <v>9.1176392051397883</v>
      </c>
      <c r="AE195" s="6">
        <v>9.0726083378682461</v>
      </c>
      <c r="AF195" s="6">
        <v>9.0277998723568089</v>
      </c>
      <c r="AG195" s="6">
        <v>8.9832127101913031</v>
      </c>
      <c r="AH195" s="6">
        <v>8.9388457583824827</v>
      </c>
      <c r="AI195" s="6">
        <v>8.8946979293392356</v>
      </c>
      <c r="AJ195" s="6">
        <v>8.8507681408419305</v>
      </c>
      <c r="AK195" s="6">
        <v>8.8070553160158767</v>
      </c>
      <c r="AL195" s="6">
        <v>8.7635583833049306</v>
      </c>
      <c r="AM195" s="6">
        <v>8.7202762764452348</v>
      </c>
      <c r="AN195" s="6">
        <v>8.6772079344390693</v>
      </c>
      <c r="AO195" s="6">
        <v>8.6343523015288497</v>
      </c>
      <c r="AP195" s="6">
        <v>8.5917083271712453</v>
      </c>
      <c r="AQ195" s="6">
        <v>8.5492749660114224</v>
      </c>
      <c r="AR195" s="6">
        <v>8.5070511778574289</v>
      </c>
      <c r="AS195" s="6">
        <v>8.4650359276546823</v>
      </c>
      <c r="AT195" s="6">
        <v>8.4232281854606104</v>
      </c>
      <c r="AU195" s="6">
        <v>8.3816269264193917</v>
      </c>
      <c r="AV195" s="6">
        <v>8.3402311307368411</v>
      </c>
      <c r="AW195" s="6">
        <v>8.2990397836554077</v>
      </c>
      <c r="AX195" s="6">
        <v>8.2580518754293006</v>
      </c>
      <c r="AY195" s="6">
        <v>8.2172664012997316</v>
      </c>
      <c r="AZ195" s="6">
        <v>8.1766823614702968</v>
      </c>
      <c r="BA195" s="6">
        <v>8.1362987610824504</v>
      </c>
      <c r="BB195" s="6">
        <v>8.0961146101911332</v>
      </c>
      <c r="BC195" s="6">
        <v>8.056128923740502</v>
      </c>
      <c r="BD195" s="6">
        <v>8.0163407215397733</v>
      </c>
      <c r="BE195" s="6">
        <v>7.9767490282392064</v>
      </c>
      <c r="BF195" s="6">
        <v>7.9373528733061889</v>
      </c>
      <c r="BG195" s="6">
        <v>7.8981512910014455</v>
      </c>
      <c r="BH195" s="6">
        <v>7.8591433203553658</v>
      </c>
      <c r="BI195" s="6">
        <v>7.8203280051444448</v>
      </c>
      <c r="BJ195" s="6">
        <v>7.781704393867849</v>
      </c>
      <c r="BK195" s="6">
        <v>7.7432715397240806</v>
      </c>
      <c r="BL195" s="6">
        <v>7.7050285005877797</v>
      </c>
      <c r="BM195" s="6">
        <v>7.6669743389866252</v>
      </c>
      <c r="BN195" s="6">
        <v>7.6291081220783488</v>
      </c>
      <c r="BO195" s="6">
        <v>7.5914289216278759</v>
      </c>
      <c r="BP195" s="6">
        <v>7.553935813984566</v>
      </c>
      <c r="BQ195" s="6">
        <v>7.5166278800595725</v>
      </c>
      <c r="BR195" s="6">
        <v>7.4795042053033125</v>
      </c>
      <c r="BS195" s="6">
        <v>7.442563879683048</v>
      </c>
      <c r="BT195" s="6">
        <v>7.4058059976605772</v>
      </c>
      <c r="BU195" s="6">
        <v>7.3692296581700392</v>
      </c>
      <c r="BV195" s="6">
        <v>7.3328339645958183</v>
      </c>
      <c r="BW195" s="6">
        <v>7.2966180247505754</v>
      </c>
      <c r="BX195" s="6">
        <v>7.2605809508533685</v>
      </c>
      <c r="BY195" s="6">
        <v>7.2247218595078975</v>
      </c>
      <c r="BZ195" s="6">
        <v>7.1890398716808388</v>
      </c>
      <c r="CA195" s="6">
        <v>7.1535341126803083</v>
      </c>
      <c r="CB195" s="6">
        <v>7.1182037121344122</v>
      </c>
      <c r="CC195" s="6">
        <v>7.0830478039699143</v>
      </c>
      <c r="CD195" s="6">
        <v>7.0480655263910039</v>
      </c>
      <c r="CE195" s="45">
        <v>7.0480655263910039</v>
      </c>
    </row>
    <row r="196" spans="1:83" ht="15" thickBot="1" x14ac:dyDescent="0.35">
      <c r="A196" s="30" t="s">
        <v>172</v>
      </c>
      <c r="B196" s="7">
        <v>3.5103056345612238</v>
      </c>
      <c r="C196" s="44">
        <v>3.492968678847582</v>
      </c>
      <c r="D196" s="44">
        <v>3.4757173481662615</v>
      </c>
      <c r="E196" s="44">
        <v>3.4585512196260537</v>
      </c>
      <c r="F196" s="44">
        <v>3.4414698724243551</v>
      </c>
      <c r="G196" s="44">
        <v>3.4244728878368544</v>
      </c>
      <c r="H196" s="44">
        <v>3.4075598492072663</v>
      </c>
      <c r="I196" s="44">
        <v>3.3907303419371186</v>
      </c>
      <c r="J196" s="44">
        <v>3.3739839534755869</v>
      </c>
      <c r="K196" s="44">
        <v>3.357320273309385</v>
      </c>
      <c r="L196" s="44">
        <v>3.3407388929526993</v>
      </c>
      <c r="M196" s="44">
        <v>3.3242394059371763</v>
      </c>
      <c r="N196" s="44">
        <v>3.3078214078019568</v>
      </c>
      <c r="O196" s="44">
        <v>3.2914844960837648</v>
      </c>
      <c r="P196" s="44">
        <v>3.2752282703070383</v>
      </c>
      <c r="Q196" s="44">
        <v>3.2590523319741136</v>
      </c>
      <c r="R196" s="44">
        <v>3.2429562845554565</v>
      </c>
      <c r="S196" s="44">
        <v>3.2269397334799423</v>
      </c>
      <c r="T196" s="44">
        <v>3.2110022861251837</v>
      </c>
      <c r="U196" s="44">
        <v>3.1951435518079045</v>
      </c>
      <c r="V196" s="44">
        <v>3.1793631417743651</v>
      </c>
      <c r="W196" s="44">
        <v>3.1636606691908296</v>
      </c>
      <c r="X196" s="6">
        <v>3.1480357491340869</v>
      </c>
      <c r="Y196" s="6">
        <v>3.1324879985820129</v>
      </c>
      <c r="Z196" s="6">
        <v>3.1170170364041798</v>
      </c>
      <c r="AA196" s="6">
        <v>3.1016224833525166</v>
      </c>
      <c r="AB196" s="6">
        <v>3.0863039620520083</v>
      </c>
      <c r="AC196" s="6">
        <v>3.0710610969914507</v>
      </c>
      <c r="AD196" s="6">
        <v>3.055893514514239</v>
      </c>
      <c r="AE196" s="6">
        <v>3.0408008428092121</v>
      </c>
      <c r="AF196" s="6">
        <v>3.0257827119015377</v>
      </c>
      <c r="AG196" s="6">
        <v>3.0108387536436414</v>
      </c>
      <c r="AH196" s="6">
        <v>2.9959686017061848</v>
      </c>
      <c r="AI196" s="6">
        <v>2.9811718915690819</v>
      </c>
      <c r="AJ196" s="6">
        <v>2.9664482605125664</v>
      </c>
      <c r="AK196" s="6">
        <v>2.951797347608299</v>
      </c>
      <c r="AL196" s="6">
        <v>2.9372187937105196</v>
      </c>
      <c r="AM196" s="6">
        <v>2.9227122414472433</v>
      </c>
      <c r="AN196" s="6">
        <v>2.9082773352115008</v>
      </c>
      <c r="AO196" s="6">
        <v>2.8939137211526207</v>
      </c>
      <c r="AP196" s="6">
        <v>2.879621047167555</v>
      </c>
      <c r="AQ196" s="6">
        <v>2.865398962892248</v>
      </c>
      <c r="AR196" s="6">
        <v>2.8512471196930482</v>
      </c>
      <c r="AS196" s="6">
        <v>2.8371651706581611</v>
      </c>
      <c r="AT196" s="6">
        <v>2.823152770589147</v>
      </c>
      <c r="AU196" s="6">
        <v>2.8092095759924556</v>
      </c>
      <c r="AV196" s="6">
        <v>2.7953352450710094</v>
      </c>
      <c r="AW196" s="6">
        <v>2.7815294377158231</v>
      </c>
      <c r="AX196" s="6">
        <v>2.7677918154976662</v>
      </c>
      <c r="AY196" s="6">
        <v>2.7541220416587673</v>
      </c>
      <c r="AZ196" s="6">
        <v>2.7405197811045601</v>
      </c>
      <c r="BA196" s="6">
        <v>2.7269847003954677</v>
      </c>
      <c r="BB196" s="6">
        <v>2.713516467738728</v>
      </c>
      <c r="BC196" s="6">
        <v>2.7001147529802627</v>
      </c>
      <c r="BD196" s="6">
        <v>2.6867792275965816</v>
      </c>
      <c r="BE196" s="6">
        <v>2.6735095646867317</v>
      </c>
      <c r="BF196" s="6">
        <v>2.6603054389642815</v>
      </c>
      <c r="BG196" s="6">
        <v>2.6471665267493485</v>
      </c>
      <c r="BH196" s="6">
        <v>2.6340925059606648</v>
      </c>
      <c r="BI196" s="6">
        <v>2.6210830561076794</v>
      </c>
      <c r="BJ196" s="6">
        <v>2.6081378582827055</v>
      </c>
      <c r="BK196" s="6">
        <v>2.5952565951530997</v>
      </c>
      <c r="BL196" s="6">
        <v>2.582438950953486</v>
      </c>
      <c r="BM196" s="6">
        <v>2.5696846114780114</v>
      </c>
      <c r="BN196" s="6">
        <v>2.556993264072648</v>
      </c>
      <c r="BO196" s="6">
        <v>2.544364597627526</v>
      </c>
      <c r="BP196" s="6">
        <v>2.5317983025693063</v>
      </c>
      <c r="BQ196" s="6">
        <v>2.5192940708535962</v>
      </c>
      <c r="BR196" s="6">
        <v>2.5068515959573929</v>
      </c>
      <c r="BS196" s="6">
        <v>2.494470572871573</v>
      </c>
      <c r="BT196" s="6">
        <v>2.4821506980934149</v>
      </c>
      <c r="BU196" s="6">
        <v>2.469891669619158</v>
      </c>
      <c r="BV196" s="6">
        <v>2.4576931869366003</v>
      </c>
      <c r="BW196" s="6">
        <v>2.4455549510177317</v>
      </c>
      <c r="BX196" s="6">
        <v>2.4334766643114025</v>
      </c>
      <c r="BY196" s="6">
        <v>2.4214580307360327</v>
      </c>
      <c r="BZ196" s="6">
        <v>2.4094987556723502</v>
      </c>
      <c r="CA196" s="6">
        <v>2.3975985459561704</v>
      </c>
      <c r="CB196" s="6">
        <v>2.3857571098712098</v>
      </c>
      <c r="CC196" s="6">
        <v>2.3739741571419346</v>
      </c>
      <c r="CD196" s="6">
        <v>2.3622493989264455</v>
      </c>
      <c r="CE196" s="45">
        <v>2.3622493989264455</v>
      </c>
    </row>
    <row r="197" spans="1:83" ht="15" thickBot="1" x14ac:dyDescent="0.35">
      <c r="A197" s="60" t="s">
        <v>173</v>
      </c>
      <c r="B197" s="7">
        <v>1.4150479614126736</v>
      </c>
      <c r="C197" s="44">
        <v>1.4080592184387994</v>
      </c>
      <c r="D197" s="44">
        <v>1.4011049919828715</v>
      </c>
      <c r="E197" s="44">
        <v>1.3941851115721717</v>
      </c>
      <c r="F197" s="44">
        <v>1.3872994075759251</v>
      </c>
      <c r="G197" s="44">
        <v>1.3804477112011417</v>
      </c>
      <c r="H197" s="44">
        <v>1.3736298544884784</v>
      </c>
      <c r="I197" s="44">
        <v>1.3668456703081231</v>
      </c>
      <c r="J197" s="44">
        <v>1.3600949923556953</v>
      </c>
      <c r="K197" s="44">
        <v>1.3533776551481722</v>
      </c>
      <c r="L197" s="44">
        <v>1.3466934940198294</v>
      </c>
      <c r="M197" s="44">
        <v>1.3400423451182069</v>
      </c>
      <c r="N197" s="44">
        <v>1.3334240454000907</v>
      </c>
      <c r="O197" s="44">
        <v>1.3268384326275162</v>
      </c>
      <c r="P197" s="44">
        <v>1.3202853453637924</v>
      </c>
      <c r="Q197" s="44">
        <v>1.3137646229695432</v>
      </c>
      <c r="R197" s="44">
        <v>1.3072761055987703</v>
      </c>
      <c r="S197" s="44">
        <v>1.3008196341949347</v>
      </c>
      <c r="T197" s="44">
        <v>1.2943950504870569</v>
      </c>
      <c r="U197" s="44">
        <v>1.2880021969858386</v>
      </c>
      <c r="V197" s="44">
        <v>1.2816409169798006</v>
      </c>
      <c r="W197" s="44">
        <v>1.2753110545314423</v>
      </c>
      <c r="X197" s="6">
        <v>1.2690124544734183</v>
      </c>
      <c r="Y197" s="6">
        <v>1.2627449624047353</v>
      </c>
      <c r="Z197" s="6">
        <v>1.2565084246869671</v>
      </c>
      <c r="AA197" s="6">
        <v>1.2503026884404882</v>
      </c>
      <c r="AB197" s="6">
        <v>1.2441276015407261</v>
      </c>
      <c r="AC197" s="6">
        <v>1.2379830126144327</v>
      </c>
      <c r="AD197" s="6">
        <v>1.2318687710359726</v>
      </c>
      <c r="AE197" s="6">
        <v>1.2257847269236315</v>
      </c>
      <c r="AF197" s="6">
        <v>1.2197307311359431</v>
      </c>
      <c r="AG197" s="6">
        <v>1.2137066352680301</v>
      </c>
      <c r="AH197" s="6">
        <v>1.2077122916479694</v>
      </c>
      <c r="AI197" s="6">
        <v>1.2017475533331705</v>
      </c>
      <c r="AJ197" s="6">
        <v>1.1958122741067738</v>
      </c>
      <c r="AK197" s="6">
        <v>1.1899063084740664</v>
      </c>
      <c r="AL197" s="6">
        <v>1.1840295116589148</v>
      </c>
      <c r="AM197" s="6">
        <v>1.1781817396002172</v>
      </c>
      <c r="AN197" s="6">
        <v>1.1723628489483713</v>
      </c>
      <c r="AO197" s="6">
        <v>1.16657269706176</v>
      </c>
      <c r="AP197" s="6">
        <v>1.1608111420032556</v>
      </c>
      <c r="AQ197" s="6">
        <v>1.1550780425367391</v>
      </c>
      <c r="AR197" s="6">
        <v>1.14937325812364</v>
      </c>
      <c r="AS197" s="6">
        <v>1.1436966489194889</v>
      </c>
      <c r="AT197" s="6">
        <v>1.1380480757704912</v>
      </c>
      <c r="AU197" s="6">
        <v>1.1324274002101151</v>
      </c>
      <c r="AV197" s="6">
        <v>1.1268344844556979</v>
      </c>
      <c r="AW197" s="6">
        <v>1.1212691914050674</v>
      </c>
      <c r="AX197" s="6">
        <v>1.115731384633182</v>
      </c>
      <c r="AY197" s="6">
        <v>1.1102209283887861</v>
      </c>
      <c r="AZ197" s="6">
        <v>1.1047376875910828</v>
      </c>
      <c r="BA197" s="6">
        <v>1.0992815278264212</v>
      </c>
      <c r="BB197" s="6">
        <v>1.0938523153450035</v>
      </c>
      <c r="BC197" s="6">
        <v>1.0884499170576043</v>
      </c>
      <c r="BD197" s="6">
        <v>1.08307420053231</v>
      </c>
      <c r="BE197" s="6">
        <v>1.0777250339912705</v>
      </c>
      <c r="BF197" s="6">
        <v>1.0724022863074709</v>
      </c>
      <c r="BG197" s="6">
        <v>1.067105827001515</v>
      </c>
      <c r="BH197" s="6">
        <v>1.0618355262384289</v>
      </c>
      <c r="BI197" s="6">
        <v>1.056591254824476</v>
      </c>
      <c r="BJ197" s="6">
        <v>1.0513728842039922</v>
      </c>
      <c r="BK197" s="6">
        <v>1.0461802864562331</v>
      </c>
      <c r="BL197" s="6">
        <v>1.041013334292239</v>
      </c>
      <c r="BM197" s="6">
        <v>1.0358719010517141</v>
      </c>
      <c r="BN197" s="6">
        <v>1.0307558606999216</v>
      </c>
      <c r="BO197" s="6">
        <v>1.0256650878245948</v>
      </c>
      <c r="BP197" s="6">
        <v>1.0205994576328619</v>
      </c>
      <c r="BQ197" s="6">
        <v>1.0155588459481875</v>
      </c>
      <c r="BR197" s="6">
        <v>1.0105431292073284</v>
      </c>
      <c r="BS197" s="6">
        <v>1.0055521844573045</v>
      </c>
      <c r="BT197" s="6">
        <v>1.0005858893523851</v>
      </c>
      <c r="BU197" s="6">
        <v>0.99564412215108988</v>
      </c>
      <c r="BV197" s="6">
        <v>0.9907267617132034</v>
      </c>
      <c r="BW197" s="6">
        <v>0.98583368749680733</v>
      </c>
      <c r="BX197" s="6">
        <v>0.98096477955532402</v>
      </c>
      <c r="BY197" s="6">
        <v>0.97611991853457736</v>
      </c>
      <c r="BZ197" s="6">
        <v>0.97129898566986606</v>
      </c>
      <c r="CA197" s="6">
        <v>0.96650186278305272</v>
      </c>
      <c r="CB197" s="6">
        <v>0.96172843227966676</v>
      </c>
      <c r="CC197" s="6">
        <v>0.95697857714602208</v>
      </c>
      <c r="CD197" s="6">
        <v>0.95225218094634811</v>
      </c>
      <c r="CE197" s="45">
        <v>0.95225218094634811</v>
      </c>
    </row>
    <row r="198" spans="1:83" ht="15" thickBot="1" x14ac:dyDescent="0.35">
      <c r="A198" s="30" t="s">
        <v>174</v>
      </c>
      <c r="B198" s="7">
        <v>5.1293902273419114</v>
      </c>
      <c r="C198" s="44">
        <v>5.1293902273419114</v>
      </c>
      <c r="D198" s="44">
        <v>5.1293902273419114</v>
      </c>
      <c r="E198" s="44">
        <v>5.1293902273419114</v>
      </c>
      <c r="F198" s="44">
        <v>5.1293902273419114</v>
      </c>
      <c r="G198" s="44">
        <v>5.1293902273419114</v>
      </c>
      <c r="H198" s="44">
        <v>5.1293902273419114</v>
      </c>
      <c r="I198" s="44">
        <v>5.1293902273419114</v>
      </c>
      <c r="J198" s="44">
        <v>5.1293902273419114</v>
      </c>
      <c r="K198" s="44">
        <v>5.1293902273419114</v>
      </c>
      <c r="L198" s="44">
        <v>5.1293902273419114</v>
      </c>
      <c r="M198" s="44">
        <v>5.1293902273419114</v>
      </c>
      <c r="N198" s="44">
        <v>5.1293902273419114</v>
      </c>
      <c r="O198" s="44">
        <v>5.1293902273419114</v>
      </c>
      <c r="P198" s="44">
        <v>5.1293902273419114</v>
      </c>
      <c r="Q198" s="44">
        <v>5.1293902273419114</v>
      </c>
      <c r="R198" s="44">
        <v>5.1293902273419114</v>
      </c>
      <c r="S198" s="44">
        <v>5.1293902273419114</v>
      </c>
      <c r="T198" s="44">
        <v>5.1293902273419114</v>
      </c>
      <c r="U198" s="44">
        <v>5.1293902273419114</v>
      </c>
      <c r="V198" s="44">
        <v>5.1293902273419114</v>
      </c>
      <c r="W198" s="44">
        <v>5.1293902273419123</v>
      </c>
      <c r="X198" s="6">
        <v>5.1293902273419123</v>
      </c>
      <c r="Y198" s="6">
        <v>5.1293902273419123</v>
      </c>
      <c r="Z198" s="6">
        <v>5.1293902273419123</v>
      </c>
      <c r="AA198" s="6">
        <v>5.1293902273419123</v>
      </c>
      <c r="AB198" s="6">
        <v>5.1293902273419123</v>
      </c>
      <c r="AC198" s="6">
        <v>5.1293902273419123</v>
      </c>
      <c r="AD198" s="6">
        <v>5.1293902273419123</v>
      </c>
      <c r="AE198" s="6">
        <v>5.1293902273419123</v>
      </c>
      <c r="AF198" s="6">
        <v>5.1293902273419123</v>
      </c>
      <c r="AG198" s="6">
        <v>5.1293902273419123</v>
      </c>
      <c r="AH198" s="6">
        <v>5.1293902273419123</v>
      </c>
      <c r="AI198" s="6">
        <v>5.1293902273419123</v>
      </c>
      <c r="AJ198" s="6">
        <v>5.1293902273419123</v>
      </c>
      <c r="AK198" s="6">
        <v>5.1293902273419123</v>
      </c>
      <c r="AL198" s="6">
        <v>5.1293902273419123</v>
      </c>
      <c r="AM198" s="6">
        <v>5.1293902273419123</v>
      </c>
      <c r="AN198" s="6">
        <v>5.1293902273419123</v>
      </c>
      <c r="AO198" s="6">
        <v>5.1293902273419123</v>
      </c>
      <c r="AP198" s="6">
        <v>5.1293902273419123</v>
      </c>
      <c r="AQ198" s="6">
        <v>5.1293902273419123</v>
      </c>
      <c r="AR198" s="6">
        <v>5.1293902273419123</v>
      </c>
      <c r="AS198" s="6">
        <v>5.1293902273419123</v>
      </c>
      <c r="AT198" s="6">
        <v>5.1293902273419123</v>
      </c>
      <c r="AU198" s="6">
        <v>5.1293902273419123</v>
      </c>
      <c r="AV198" s="6">
        <v>5.1293902273419123</v>
      </c>
      <c r="AW198" s="6">
        <v>5.1293902273419123</v>
      </c>
      <c r="AX198" s="6">
        <v>5.1293902273419123</v>
      </c>
      <c r="AY198" s="6">
        <v>5.1293902273419123</v>
      </c>
      <c r="AZ198" s="6">
        <v>5.1293902273419123</v>
      </c>
      <c r="BA198" s="6">
        <v>5.1293902273419123</v>
      </c>
      <c r="BB198" s="6">
        <v>5.1293902273419123</v>
      </c>
      <c r="BC198" s="6">
        <v>5.1293902273419123</v>
      </c>
      <c r="BD198" s="6">
        <v>5.1293902273419123</v>
      </c>
      <c r="BE198" s="6">
        <v>5.1293902273419123</v>
      </c>
      <c r="BF198" s="6">
        <v>5.1293902273419123</v>
      </c>
      <c r="BG198" s="6">
        <v>5.1293902273419123</v>
      </c>
      <c r="BH198" s="6">
        <v>5.1293902273419123</v>
      </c>
      <c r="BI198" s="6">
        <v>5.1293902273419123</v>
      </c>
      <c r="BJ198" s="6">
        <v>5.1293902273419141</v>
      </c>
      <c r="BK198" s="6">
        <v>5.1293902273419141</v>
      </c>
      <c r="BL198" s="6">
        <v>5.1293902273419141</v>
      </c>
      <c r="BM198" s="6">
        <v>5.1293902273419141</v>
      </c>
      <c r="BN198" s="6">
        <v>5.1293902273419141</v>
      </c>
      <c r="BO198" s="6">
        <v>5.1293902273419141</v>
      </c>
      <c r="BP198" s="6">
        <v>5.1293902273419141</v>
      </c>
      <c r="BQ198" s="6">
        <v>5.1293902273419141</v>
      </c>
      <c r="BR198" s="6">
        <v>5.1293902273419141</v>
      </c>
      <c r="BS198" s="6">
        <v>5.1293902273419141</v>
      </c>
      <c r="BT198" s="6">
        <v>5.1293902273419141</v>
      </c>
      <c r="BU198" s="6">
        <v>5.1293902273419141</v>
      </c>
      <c r="BV198" s="6">
        <v>5.1293902273419141</v>
      </c>
      <c r="BW198" s="6">
        <v>5.1293902273419141</v>
      </c>
      <c r="BX198" s="6">
        <v>5.1293902273419141</v>
      </c>
      <c r="BY198" s="6">
        <v>5.1293902273419141</v>
      </c>
      <c r="BZ198" s="6">
        <v>5.1293902273419141</v>
      </c>
      <c r="CA198" s="6">
        <v>5.1293902273419141</v>
      </c>
      <c r="CB198" s="6">
        <v>5.1293902273419141</v>
      </c>
      <c r="CC198" s="6">
        <v>5.1293902273419141</v>
      </c>
      <c r="CD198" s="6">
        <v>5.1293902273419141</v>
      </c>
      <c r="CE198" s="45">
        <v>5.1293902273419141</v>
      </c>
    </row>
    <row r="199" spans="1:83" ht="15" thickBot="1" x14ac:dyDescent="0.35">
      <c r="A199" s="30" t="s">
        <v>175</v>
      </c>
      <c r="B199" s="7">
        <v>1.8731344993555814</v>
      </c>
      <c r="C199" s="44">
        <v>1.8731344993555814</v>
      </c>
      <c r="D199" s="44">
        <v>1.8731344993555814</v>
      </c>
      <c r="E199" s="44">
        <v>1.8731344993555814</v>
      </c>
      <c r="F199" s="44">
        <v>1.8731344993555814</v>
      </c>
      <c r="G199" s="44">
        <v>1.8731344993555814</v>
      </c>
      <c r="H199" s="44">
        <v>1.8731344993555814</v>
      </c>
      <c r="I199" s="44">
        <v>1.8731344993555814</v>
      </c>
      <c r="J199" s="44">
        <v>1.8731344993555814</v>
      </c>
      <c r="K199" s="44">
        <v>1.8731344993555814</v>
      </c>
      <c r="L199" s="44">
        <v>1.8731344993555814</v>
      </c>
      <c r="M199" s="44">
        <v>1.8731344993555814</v>
      </c>
      <c r="N199" s="44">
        <v>1.8731344993555814</v>
      </c>
      <c r="O199" s="44">
        <v>1.8731344993555814</v>
      </c>
      <c r="P199" s="44">
        <v>1.8731344993555814</v>
      </c>
      <c r="Q199" s="44">
        <v>1.8731344993555814</v>
      </c>
      <c r="R199" s="44">
        <v>1.8731344993555814</v>
      </c>
      <c r="S199" s="44">
        <v>1.8731344993555814</v>
      </c>
      <c r="T199" s="44">
        <v>1.8731344993555814</v>
      </c>
      <c r="U199" s="44">
        <v>1.8731344993555814</v>
      </c>
      <c r="V199" s="44">
        <v>1.8731344993555814</v>
      </c>
      <c r="W199" s="44">
        <v>1.8731344993555819</v>
      </c>
      <c r="X199" s="6">
        <v>1.8731344993555819</v>
      </c>
      <c r="Y199" s="6">
        <v>1.8731344993555819</v>
      </c>
      <c r="Z199" s="6">
        <v>1.8731344993555819</v>
      </c>
      <c r="AA199" s="6">
        <v>1.8731344993555819</v>
      </c>
      <c r="AB199" s="6">
        <v>1.8731344993555819</v>
      </c>
      <c r="AC199" s="6">
        <v>1.8731344993555819</v>
      </c>
      <c r="AD199" s="6">
        <v>1.8731344993555819</v>
      </c>
      <c r="AE199" s="6">
        <v>1.8731344993555819</v>
      </c>
      <c r="AF199" s="6">
        <v>1.8731344993555819</v>
      </c>
      <c r="AG199" s="6">
        <v>1.8731344993555819</v>
      </c>
      <c r="AH199" s="6">
        <v>1.8731344993555819</v>
      </c>
      <c r="AI199" s="6">
        <v>1.8731344993555819</v>
      </c>
      <c r="AJ199" s="6">
        <v>1.8731344993555819</v>
      </c>
      <c r="AK199" s="6">
        <v>1.8731344993555819</v>
      </c>
      <c r="AL199" s="6">
        <v>1.8731344993555819</v>
      </c>
      <c r="AM199" s="6">
        <v>1.8731344993555819</v>
      </c>
      <c r="AN199" s="6">
        <v>1.8731344993555819</v>
      </c>
      <c r="AO199" s="6">
        <v>1.8731344993555819</v>
      </c>
      <c r="AP199" s="6">
        <v>1.8731344993555819</v>
      </c>
      <c r="AQ199" s="6">
        <v>1.8731344993555819</v>
      </c>
      <c r="AR199" s="6">
        <v>1.8731344993555819</v>
      </c>
      <c r="AS199" s="6">
        <v>1.8731344993555819</v>
      </c>
      <c r="AT199" s="6">
        <v>1.8731344993555819</v>
      </c>
      <c r="AU199" s="6">
        <v>1.8731344993555819</v>
      </c>
      <c r="AV199" s="6">
        <v>1.8731344993555819</v>
      </c>
      <c r="AW199" s="6">
        <v>1.8731344993555819</v>
      </c>
      <c r="AX199" s="6">
        <v>1.8731344993555819</v>
      </c>
      <c r="AY199" s="6">
        <v>1.8731344993555819</v>
      </c>
      <c r="AZ199" s="6">
        <v>1.8731344993555819</v>
      </c>
      <c r="BA199" s="6">
        <v>1.8731344993555819</v>
      </c>
      <c r="BB199" s="6">
        <v>1.8731344993555819</v>
      </c>
      <c r="BC199" s="6">
        <v>1.8731344993555819</v>
      </c>
      <c r="BD199" s="6">
        <v>1.8731344993555819</v>
      </c>
      <c r="BE199" s="6">
        <v>1.8731344993555819</v>
      </c>
      <c r="BF199" s="6">
        <v>1.8731344993555819</v>
      </c>
      <c r="BG199" s="6">
        <v>1.8731344993555819</v>
      </c>
      <c r="BH199" s="6">
        <v>1.8731344993555819</v>
      </c>
      <c r="BI199" s="6">
        <v>1.8731344993555819</v>
      </c>
      <c r="BJ199" s="6">
        <v>1.8731344993555823</v>
      </c>
      <c r="BK199" s="6">
        <v>1.8731344993555823</v>
      </c>
      <c r="BL199" s="6">
        <v>1.8731344993555823</v>
      </c>
      <c r="BM199" s="6">
        <v>1.8731344993555823</v>
      </c>
      <c r="BN199" s="6">
        <v>1.8731344993555823</v>
      </c>
      <c r="BO199" s="6">
        <v>1.8731344993555823</v>
      </c>
      <c r="BP199" s="6">
        <v>1.8731344993555823</v>
      </c>
      <c r="BQ199" s="6">
        <v>1.8731344993555823</v>
      </c>
      <c r="BR199" s="6">
        <v>1.8731344993555823</v>
      </c>
      <c r="BS199" s="6">
        <v>1.8731344993555823</v>
      </c>
      <c r="BT199" s="6">
        <v>1.8731344993555823</v>
      </c>
      <c r="BU199" s="6">
        <v>1.8731344993555823</v>
      </c>
      <c r="BV199" s="6">
        <v>1.8731344993555823</v>
      </c>
      <c r="BW199" s="6">
        <v>1.8731344993555823</v>
      </c>
      <c r="BX199" s="6">
        <v>1.8731344993555823</v>
      </c>
      <c r="BY199" s="6">
        <v>1.8731344993555823</v>
      </c>
      <c r="BZ199" s="6">
        <v>1.8731344993555823</v>
      </c>
      <c r="CA199" s="6">
        <v>1.8731344993555823</v>
      </c>
      <c r="CB199" s="6">
        <v>1.8731344993555823</v>
      </c>
      <c r="CC199" s="6">
        <v>1.8731344993555823</v>
      </c>
      <c r="CD199" s="6">
        <v>1.8731344993555823</v>
      </c>
      <c r="CE199" s="45">
        <v>1.8731344993555823</v>
      </c>
    </row>
    <row r="200" spans="1:83" ht="15" thickBot="1" x14ac:dyDescent="0.35">
      <c r="A200" s="46" t="s">
        <v>176</v>
      </c>
      <c r="B200" s="44">
        <v>1</v>
      </c>
      <c r="C200" s="44">
        <v>1</v>
      </c>
      <c r="D200" s="44">
        <v>1</v>
      </c>
      <c r="E200" s="44">
        <v>1</v>
      </c>
      <c r="F200" s="44">
        <v>1</v>
      </c>
      <c r="G200" s="44">
        <v>1</v>
      </c>
      <c r="H200" s="44">
        <v>1</v>
      </c>
      <c r="I200" s="44">
        <v>1</v>
      </c>
      <c r="J200" s="44">
        <v>1</v>
      </c>
      <c r="K200" s="44">
        <v>1</v>
      </c>
      <c r="L200" s="44">
        <v>1</v>
      </c>
      <c r="M200" s="44">
        <v>1</v>
      </c>
      <c r="N200" s="44">
        <v>1</v>
      </c>
      <c r="O200" s="44">
        <v>1</v>
      </c>
      <c r="P200" s="44">
        <v>1</v>
      </c>
      <c r="Q200" s="44">
        <v>1</v>
      </c>
      <c r="R200" s="44">
        <v>1</v>
      </c>
      <c r="S200" s="44">
        <v>1</v>
      </c>
      <c r="T200" s="44">
        <v>1</v>
      </c>
      <c r="U200" s="44">
        <v>1</v>
      </c>
      <c r="V200" s="44">
        <v>1</v>
      </c>
      <c r="W200" s="44">
        <v>1</v>
      </c>
      <c r="X200" s="56">
        <v>1</v>
      </c>
      <c r="Y200" s="56">
        <v>1</v>
      </c>
      <c r="Z200" s="56">
        <v>1</v>
      </c>
      <c r="AA200" s="56">
        <v>1</v>
      </c>
      <c r="AB200" s="56">
        <v>1</v>
      </c>
      <c r="AC200" s="56">
        <v>1</v>
      </c>
      <c r="AD200" s="56">
        <v>1</v>
      </c>
      <c r="AE200" s="56">
        <v>1</v>
      </c>
      <c r="AF200" s="56">
        <v>1</v>
      </c>
      <c r="AG200" s="56">
        <v>1</v>
      </c>
      <c r="AH200" s="56">
        <v>1</v>
      </c>
      <c r="AI200" s="56">
        <v>1</v>
      </c>
      <c r="AJ200" s="56">
        <v>1</v>
      </c>
      <c r="AK200" s="56">
        <v>1</v>
      </c>
      <c r="AL200" s="56">
        <v>1</v>
      </c>
      <c r="AM200" s="56">
        <v>1</v>
      </c>
      <c r="AN200" s="56">
        <v>1</v>
      </c>
      <c r="AO200" s="56">
        <v>1</v>
      </c>
      <c r="AP200" s="56">
        <v>1</v>
      </c>
      <c r="AQ200" s="56">
        <v>1</v>
      </c>
      <c r="AR200" s="56">
        <v>1</v>
      </c>
      <c r="AS200" s="56">
        <v>1</v>
      </c>
      <c r="AT200" s="56">
        <v>1</v>
      </c>
      <c r="AU200" s="56">
        <v>1</v>
      </c>
      <c r="AV200" s="56">
        <v>1</v>
      </c>
      <c r="AW200" s="56">
        <v>1</v>
      </c>
      <c r="AX200" s="56">
        <v>1</v>
      </c>
      <c r="AY200" s="56">
        <v>1</v>
      </c>
      <c r="AZ200" s="56">
        <v>1</v>
      </c>
      <c r="BA200" s="56">
        <v>1</v>
      </c>
      <c r="BB200" s="56">
        <v>1</v>
      </c>
      <c r="BC200" s="56">
        <v>1</v>
      </c>
      <c r="BD200" s="56">
        <v>1</v>
      </c>
      <c r="BE200" s="56">
        <v>1</v>
      </c>
      <c r="BF200" s="56">
        <v>1</v>
      </c>
      <c r="BG200" s="56">
        <v>1</v>
      </c>
      <c r="BH200" s="56">
        <v>1</v>
      </c>
      <c r="BI200" s="56">
        <v>1</v>
      </c>
      <c r="BJ200" s="56">
        <v>1</v>
      </c>
      <c r="BK200" s="56">
        <v>1</v>
      </c>
      <c r="BL200" s="56">
        <v>1</v>
      </c>
      <c r="BM200" s="56">
        <v>1</v>
      </c>
      <c r="BN200" s="56">
        <v>1</v>
      </c>
      <c r="BO200" s="56">
        <v>1</v>
      </c>
      <c r="BP200" s="56">
        <v>1</v>
      </c>
      <c r="BQ200" s="56">
        <v>1</v>
      </c>
      <c r="BR200" s="56">
        <v>1</v>
      </c>
      <c r="BS200" s="56">
        <v>1</v>
      </c>
      <c r="BT200" s="56">
        <v>1</v>
      </c>
      <c r="BU200" s="56">
        <v>1</v>
      </c>
      <c r="BV200" s="56">
        <v>1</v>
      </c>
      <c r="BW200" s="56">
        <v>1</v>
      </c>
      <c r="BX200" s="56">
        <v>1</v>
      </c>
      <c r="BY200" s="56">
        <v>1</v>
      </c>
      <c r="BZ200" s="56">
        <v>1</v>
      </c>
      <c r="CA200" s="56">
        <v>1</v>
      </c>
      <c r="CB200" s="56">
        <v>1</v>
      </c>
      <c r="CC200" s="56">
        <v>1</v>
      </c>
      <c r="CD200" s="56">
        <v>1</v>
      </c>
      <c r="CE200" s="57">
        <v>1</v>
      </c>
    </row>
    <row r="202" spans="1:83" ht="15" thickBot="1" x14ac:dyDescent="0.35">
      <c r="A202" s="41" t="s">
        <v>89</v>
      </c>
    </row>
    <row r="203" spans="1:83" ht="15" thickBot="1" x14ac:dyDescent="0.35">
      <c r="B203" s="55">
        <v>2019</v>
      </c>
      <c r="C203" s="55">
        <v>2020</v>
      </c>
      <c r="D203" s="55">
        <v>2021</v>
      </c>
      <c r="E203" s="55">
        <v>2022</v>
      </c>
      <c r="F203" s="55">
        <v>2023</v>
      </c>
      <c r="G203" s="55">
        <v>2024</v>
      </c>
      <c r="H203" s="55">
        <v>2025</v>
      </c>
      <c r="I203" s="55">
        <v>2026</v>
      </c>
      <c r="J203" s="55">
        <v>2027</v>
      </c>
      <c r="K203" s="55">
        <v>2028</v>
      </c>
      <c r="L203" s="55">
        <v>2029</v>
      </c>
      <c r="M203" s="55">
        <v>2030</v>
      </c>
      <c r="N203" s="55">
        <v>2031</v>
      </c>
      <c r="O203" s="55">
        <v>2032</v>
      </c>
      <c r="P203" s="55">
        <v>2033</v>
      </c>
      <c r="Q203" s="55">
        <v>2034</v>
      </c>
      <c r="R203" s="55">
        <v>2035</v>
      </c>
      <c r="S203" s="55">
        <v>2036</v>
      </c>
      <c r="T203" s="55">
        <v>2037</v>
      </c>
      <c r="U203" s="55">
        <v>2038</v>
      </c>
      <c r="V203" s="55">
        <v>2039</v>
      </c>
      <c r="W203" s="55">
        <v>2040</v>
      </c>
      <c r="X203" s="55">
        <v>2041</v>
      </c>
      <c r="Y203" s="55">
        <v>2042</v>
      </c>
      <c r="Z203" s="55">
        <v>2043</v>
      </c>
      <c r="AA203" s="55">
        <v>2044</v>
      </c>
      <c r="AB203" s="55">
        <v>2045</v>
      </c>
      <c r="AC203" s="55">
        <v>2046</v>
      </c>
      <c r="AD203" s="55">
        <v>2047</v>
      </c>
      <c r="AE203" s="55">
        <v>2048</v>
      </c>
      <c r="AF203" s="55">
        <v>2049</v>
      </c>
      <c r="AG203" s="55">
        <v>2050</v>
      </c>
      <c r="AH203" s="55">
        <v>2051</v>
      </c>
      <c r="AI203" s="55">
        <v>2052</v>
      </c>
      <c r="AJ203" s="55">
        <v>2053</v>
      </c>
      <c r="AK203" s="55">
        <v>2054</v>
      </c>
      <c r="AL203" s="55">
        <v>2055</v>
      </c>
      <c r="AM203" s="55">
        <v>2056</v>
      </c>
      <c r="AN203" s="55">
        <v>2057</v>
      </c>
      <c r="AO203" s="55">
        <v>2058</v>
      </c>
      <c r="AP203" s="55">
        <v>2059</v>
      </c>
      <c r="AQ203" s="55">
        <v>2060</v>
      </c>
      <c r="AR203" s="55">
        <v>2061</v>
      </c>
      <c r="AS203" s="55">
        <v>2062</v>
      </c>
      <c r="AT203" s="55">
        <v>2063</v>
      </c>
      <c r="AU203" s="55">
        <v>2064</v>
      </c>
      <c r="AV203" s="55">
        <v>2065</v>
      </c>
      <c r="AW203" s="55">
        <v>2066</v>
      </c>
      <c r="AX203" s="55">
        <v>2067</v>
      </c>
      <c r="AY203" s="55">
        <v>2068</v>
      </c>
      <c r="AZ203" s="55">
        <v>2069</v>
      </c>
      <c r="BA203" s="55">
        <v>2070</v>
      </c>
      <c r="BB203" s="55">
        <v>2071</v>
      </c>
      <c r="BC203" s="55">
        <v>2072</v>
      </c>
      <c r="BD203" s="55">
        <v>2073</v>
      </c>
      <c r="BE203" s="55">
        <v>2074</v>
      </c>
      <c r="BF203" s="55">
        <v>2075</v>
      </c>
      <c r="BG203" s="55">
        <v>2076</v>
      </c>
      <c r="BH203" s="55">
        <v>2077</v>
      </c>
      <c r="BI203" s="55">
        <v>2078</v>
      </c>
      <c r="BJ203" s="55">
        <v>2079</v>
      </c>
      <c r="BK203" s="55">
        <v>2080</v>
      </c>
      <c r="BL203" s="55">
        <v>2081</v>
      </c>
      <c r="BM203" s="55">
        <v>2082</v>
      </c>
      <c r="BN203" s="55">
        <v>2083</v>
      </c>
      <c r="BO203" s="55">
        <v>2084</v>
      </c>
      <c r="BP203" s="55">
        <v>2085</v>
      </c>
      <c r="BQ203" s="55">
        <v>2086</v>
      </c>
      <c r="BR203" s="55">
        <v>2087</v>
      </c>
      <c r="BS203" s="55">
        <v>2088</v>
      </c>
      <c r="BT203" s="55">
        <v>2089</v>
      </c>
      <c r="BU203" s="55">
        <v>2090</v>
      </c>
      <c r="BV203" s="55">
        <v>2091</v>
      </c>
      <c r="BW203" s="55">
        <v>2092</v>
      </c>
      <c r="BX203" s="55">
        <v>2093</v>
      </c>
      <c r="BY203" s="55">
        <v>2094</v>
      </c>
      <c r="BZ203" s="55">
        <v>2095</v>
      </c>
      <c r="CA203" s="55">
        <v>2096</v>
      </c>
      <c r="CB203" s="55">
        <v>2097</v>
      </c>
      <c r="CC203" s="55">
        <v>2098</v>
      </c>
      <c r="CD203" s="55">
        <v>2099</v>
      </c>
      <c r="CE203" s="81">
        <v>2100</v>
      </c>
    </row>
    <row r="204" spans="1:83" ht="15" thickBot="1" x14ac:dyDescent="0.35">
      <c r="A204" s="29" t="s">
        <v>168</v>
      </c>
      <c r="B204" s="5">
        <v>46.363288283683566</v>
      </c>
      <c r="C204" s="44">
        <v>45.617500937235121</v>
      </c>
      <c r="D204" s="44">
        <v>44.883710124827132</v>
      </c>
      <c r="E204" s="44">
        <v>44.161722873449705</v>
      </c>
      <c r="F204" s="44">
        <v>43.451349314204712</v>
      </c>
      <c r="G204" s="44">
        <v>42.752402632373922</v>
      </c>
      <c r="H204" s="44">
        <v>42.064699018290213</v>
      </c>
      <c r="I204" s="44">
        <v>41.388057618999227</v>
      </c>
      <c r="J204" s="44">
        <v>40.722300490698395</v>
      </c>
      <c r="K204" s="44">
        <v>40.067252551941159</v>
      </c>
      <c r="L204" s="44">
        <v>39.422741537593893</v>
      </c>
      <c r="M204" s="44">
        <v>27.300596767248852</v>
      </c>
      <c r="N204" s="44">
        <v>18.90590442922829</v>
      </c>
      <c r="O204" s="44">
        <v>13.092505828147626</v>
      </c>
      <c r="P204" s="44">
        <v>9.0666759425206944</v>
      </c>
      <c r="Q204" s="44">
        <v>6.2787531833632286</v>
      </c>
      <c r="R204" s="44">
        <v>4.3480920447051581</v>
      </c>
      <c r="S204" s="44">
        <v>3.0110921511173809</v>
      </c>
      <c r="T204" s="44">
        <v>2.0852079140232411</v>
      </c>
      <c r="U204" s="44">
        <v>1.4440249007628776</v>
      </c>
      <c r="V204" s="44">
        <v>0.99999999999999944</v>
      </c>
      <c r="W204" s="44">
        <v>1.0000000000000002</v>
      </c>
      <c r="X204" s="6">
        <v>1.0000000000000002</v>
      </c>
      <c r="Y204" s="6">
        <v>1.0000000000000002</v>
      </c>
      <c r="Z204" s="6">
        <v>1.0000000000000002</v>
      </c>
      <c r="AA204" s="6">
        <v>1.0000000000000002</v>
      </c>
      <c r="AB204" s="6">
        <v>1.0000000000000002</v>
      </c>
      <c r="AC204" s="6">
        <v>1.0000000000000002</v>
      </c>
      <c r="AD204" s="6">
        <v>1.0000000000000002</v>
      </c>
      <c r="AE204" s="6">
        <v>1.0000000000000002</v>
      </c>
      <c r="AF204" s="6">
        <v>1.0000000000000002</v>
      </c>
      <c r="AG204" s="6">
        <v>1.0000000000000002</v>
      </c>
      <c r="AH204" s="6">
        <v>1.0000000000000002</v>
      </c>
      <c r="AI204" s="6">
        <v>1.0000000000000002</v>
      </c>
      <c r="AJ204" s="6">
        <v>1.0000000000000002</v>
      </c>
      <c r="AK204" s="6">
        <v>1.0000000000000002</v>
      </c>
      <c r="AL204" s="6">
        <v>1.0000000000000002</v>
      </c>
      <c r="AM204" s="6">
        <v>1.0000000000000002</v>
      </c>
      <c r="AN204" s="6">
        <v>1.0000000000000002</v>
      </c>
      <c r="AO204" s="6">
        <v>1.0000000000000002</v>
      </c>
      <c r="AP204" s="6">
        <v>1.0000000000000002</v>
      </c>
      <c r="AQ204" s="6">
        <v>1.0000000000000002</v>
      </c>
      <c r="AR204" s="6">
        <v>1.0000000000000002</v>
      </c>
      <c r="AS204" s="6">
        <v>1.0000000000000002</v>
      </c>
      <c r="AT204" s="6">
        <v>1.0000000000000002</v>
      </c>
      <c r="AU204" s="6">
        <v>1.0000000000000002</v>
      </c>
      <c r="AV204" s="6">
        <v>1.0000000000000002</v>
      </c>
      <c r="AW204" s="6">
        <v>1.0000000000000002</v>
      </c>
      <c r="AX204" s="6">
        <v>1.0000000000000002</v>
      </c>
      <c r="AY204" s="6">
        <v>1.0000000000000002</v>
      </c>
      <c r="AZ204" s="6">
        <v>1.0000000000000002</v>
      </c>
      <c r="BA204" s="6">
        <v>1.0000000000000002</v>
      </c>
      <c r="BB204" s="6">
        <v>1.0000000000000002</v>
      </c>
      <c r="BC204" s="6">
        <v>1.0000000000000002</v>
      </c>
      <c r="BD204" s="6">
        <v>1.0000000000000002</v>
      </c>
      <c r="BE204" s="6">
        <v>1.0000000000000002</v>
      </c>
      <c r="BF204" s="6">
        <v>1.0000000000000002</v>
      </c>
      <c r="BG204" s="6">
        <v>1.0000000000000002</v>
      </c>
      <c r="BH204" s="6">
        <v>1.0000000000000002</v>
      </c>
      <c r="BI204" s="6">
        <v>1.0000000000000002</v>
      </c>
      <c r="BJ204" s="6">
        <v>1.0000000000000002</v>
      </c>
      <c r="BK204" s="6">
        <v>1.0000000000000002</v>
      </c>
      <c r="BL204" s="6">
        <v>1.0000000000000002</v>
      </c>
      <c r="BM204" s="6">
        <v>1.0000000000000002</v>
      </c>
      <c r="BN204" s="6">
        <v>1.0000000000000002</v>
      </c>
      <c r="BO204" s="6">
        <v>1.0000000000000002</v>
      </c>
      <c r="BP204" s="6">
        <v>1.0000000000000002</v>
      </c>
      <c r="BQ204" s="6">
        <v>1.0000000000000002</v>
      </c>
      <c r="BR204" s="6">
        <v>1.0000000000000002</v>
      </c>
      <c r="BS204" s="6">
        <v>1.0000000000000002</v>
      </c>
      <c r="BT204" s="6">
        <v>1.0000000000000002</v>
      </c>
      <c r="BU204" s="6">
        <v>1.0000000000000002</v>
      </c>
      <c r="BV204" s="6">
        <v>1.0000000000000002</v>
      </c>
      <c r="BW204" s="6">
        <v>1.0000000000000002</v>
      </c>
      <c r="BX204" s="6">
        <v>1.0000000000000002</v>
      </c>
      <c r="BY204" s="6">
        <v>1.0000000000000002</v>
      </c>
      <c r="BZ204" s="6">
        <v>1.0000000000000002</v>
      </c>
      <c r="CA204" s="6">
        <v>1.0000000000000002</v>
      </c>
      <c r="CB204" s="6">
        <v>1.0000000000000002</v>
      </c>
      <c r="CC204" s="6">
        <v>1.0000000000000002</v>
      </c>
      <c r="CD204" s="6">
        <v>1.0000000000000002</v>
      </c>
      <c r="CE204" s="45">
        <v>1.0000000000000002</v>
      </c>
    </row>
    <row r="205" spans="1:83" ht="15" thickBot="1" x14ac:dyDescent="0.35">
      <c r="A205" s="30" t="s">
        <v>169</v>
      </c>
      <c r="B205" s="7">
        <v>22.623538654096027</v>
      </c>
      <c r="C205" s="44">
        <v>22.259622515170005</v>
      </c>
      <c r="D205" s="44">
        <v>21.901560233069645</v>
      </c>
      <c r="E205" s="44">
        <v>21.549257644233425</v>
      </c>
      <c r="F205" s="44">
        <v>21.202622099789465</v>
      </c>
      <c r="G205" s="44">
        <v>20.86156244119066</v>
      </c>
      <c r="H205" s="44">
        <v>20.525988976241678</v>
      </c>
      <c r="I205" s="44">
        <v>20.195813455511658</v>
      </c>
      <c r="J205" s="44">
        <v>19.870949049126263</v>
      </c>
      <c r="K205" s="44">
        <v>19.551310323933091</v>
      </c>
      <c r="L205" s="44">
        <v>19.236813221034382</v>
      </c>
      <c r="M205" s="44">
        <v>14.312642229034541</v>
      </c>
      <c r="N205" s="44">
        <v>10.648943004361495</v>
      </c>
      <c r="O205" s="44">
        <v>7.9230644695426742</v>
      </c>
      <c r="P205" s="44">
        <v>5.8949466217275051</v>
      </c>
      <c r="Q205" s="44">
        <v>4.3859791633151177</v>
      </c>
      <c r="R205" s="44">
        <v>3.2632718250800834</v>
      </c>
      <c r="S205" s="44">
        <v>2.4279511160086202</v>
      </c>
      <c r="T205" s="44">
        <v>1.8064528294644406</v>
      </c>
      <c r="U205" s="44">
        <v>1.3440434626396729</v>
      </c>
      <c r="V205" s="44">
        <v>1.0000000000000002</v>
      </c>
      <c r="W205" s="44">
        <v>1.0000000000000004</v>
      </c>
      <c r="X205" s="6">
        <v>1.0000000000000004</v>
      </c>
      <c r="Y205" s="6">
        <v>1.0000000000000004</v>
      </c>
      <c r="Z205" s="6">
        <v>1.0000000000000004</v>
      </c>
      <c r="AA205" s="6">
        <v>1.0000000000000004</v>
      </c>
      <c r="AB205" s="6">
        <v>1.0000000000000004</v>
      </c>
      <c r="AC205" s="6">
        <v>1.0000000000000004</v>
      </c>
      <c r="AD205" s="6">
        <v>1.0000000000000004</v>
      </c>
      <c r="AE205" s="6">
        <v>1.0000000000000004</v>
      </c>
      <c r="AF205" s="6">
        <v>1.0000000000000004</v>
      </c>
      <c r="AG205" s="6">
        <v>1.0000000000000004</v>
      </c>
      <c r="AH205" s="6">
        <v>1.0000000000000004</v>
      </c>
      <c r="AI205" s="6">
        <v>1.0000000000000004</v>
      </c>
      <c r="AJ205" s="6">
        <v>1.0000000000000004</v>
      </c>
      <c r="AK205" s="6">
        <v>1.0000000000000004</v>
      </c>
      <c r="AL205" s="6">
        <v>1.0000000000000004</v>
      </c>
      <c r="AM205" s="6">
        <v>1.0000000000000004</v>
      </c>
      <c r="AN205" s="6">
        <v>1.0000000000000004</v>
      </c>
      <c r="AO205" s="6">
        <v>1.0000000000000004</v>
      </c>
      <c r="AP205" s="6">
        <v>1.0000000000000004</v>
      </c>
      <c r="AQ205" s="6">
        <v>1.0000000000000004</v>
      </c>
      <c r="AR205" s="6">
        <v>1.0000000000000004</v>
      </c>
      <c r="AS205" s="6">
        <v>1.0000000000000004</v>
      </c>
      <c r="AT205" s="6">
        <v>1.0000000000000004</v>
      </c>
      <c r="AU205" s="6">
        <v>1.0000000000000004</v>
      </c>
      <c r="AV205" s="6">
        <v>1.0000000000000004</v>
      </c>
      <c r="AW205" s="6">
        <v>1.0000000000000004</v>
      </c>
      <c r="AX205" s="6">
        <v>1.0000000000000004</v>
      </c>
      <c r="AY205" s="6">
        <v>1.0000000000000004</v>
      </c>
      <c r="AZ205" s="6">
        <v>1.0000000000000004</v>
      </c>
      <c r="BA205" s="6">
        <v>1.0000000000000004</v>
      </c>
      <c r="BB205" s="6">
        <v>1.0000000000000004</v>
      </c>
      <c r="BC205" s="6">
        <v>1.0000000000000004</v>
      </c>
      <c r="BD205" s="6">
        <v>1.0000000000000004</v>
      </c>
      <c r="BE205" s="6">
        <v>1.0000000000000004</v>
      </c>
      <c r="BF205" s="6">
        <v>1.0000000000000004</v>
      </c>
      <c r="BG205" s="6">
        <v>1.0000000000000004</v>
      </c>
      <c r="BH205" s="6">
        <v>1.0000000000000004</v>
      </c>
      <c r="BI205" s="6">
        <v>1.0000000000000004</v>
      </c>
      <c r="BJ205" s="6">
        <v>1.0000000000000004</v>
      </c>
      <c r="BK205" s="6">
        <v>1.0000000000000004</v>
      </c>
      <c r="BL205" s="6">
        <v>1.0000000000000004</v>
      </c>
      <c r="BM205" s="6">
        <v>1.0000000000000004</v>
      </c>
      <c r="BN205" s="6">
        <v>1.0000000000000004</v>
      </c>
      <c r="BO205" s="6">
        <v>1.0000000000000004</v>
      </c>
      <c r="BP205" s="6">
        <v>1.0000000000000004</v>
      </c>
      <c r="BQ205" s="6">
        <v>1.0000000000000004</v>
      </c>
      <c r="BR205" s="6">
        <v>1.0000000000000004</v>
      </c>
      <c r="BS205" s="6">
        <v>1.0000000000000004</v>
      </c>
      <c r="BT205" s="6">
        <v>1.0000000000000004</v>
      </c>
      <c r="BU205" s="6">
        <v>1.0000000000000004</v>
      </c>
      <c r="BV205" s="6">
        <v>1.0000000000000004</v>
      </c>
      <c r="BW205" s="6">
        <v>1.0000000000000004</v>
      </c>
      <c r="BX205" s="6">
        <v>1.0000000000000004</v>
      </c>
      <c r="BY205" s="6">
        <v>1.0000000000000004</v>
      </c>
      <c r="BZ205" s="6">
        <v>1.0000000000000004</v>
      </c>
      <c r="CA205" s="6">
        <v>1.0000000000000004</v>
      </c>
      <c r="CB205" s="6">
        <v>1.0000000000000004</v>
      </c>
      <c r="CC205" s="6">
        <v>1.0000000000000004</v>
      </c>
      <c r="CD205" s="6">
        <v>1.0000000000000004</v>
      </c>
      <c r="CE205" s="45">
        <v>1.0000000000000004</v>
      </c>
    </row>
    <row r="206" spans="1:83" ht="15" thickBot="1" x14ac:dyDescent="0.35">
      <c r="A206" s="30" t="s">
        <v>170</v>
      </c>
      <c r="B206" s="7">
        <v>11.331596022501524</v>
      </c>
      <c r="C206" s="44">
        <v>11.149319026164719</v>
      </c>
      <c r="D206" s="44">
        <v>10.969974088412389</v>
      </c>
      <c r="E206" s="44">
        <v>10.793514044941217</v>
      </c>
      <c r="F206" s="44">
        <v>10.619892490120145</v>
      </c>
      <c r="G206" s="44">
        <v>10.449063764786574</v>
      </c>
      <c r="H206" s="44">
        <v>10.280982944238882</v>
      </c>
      <c r="I206" s="44">
        <v>10.115605826422069</v>
      </c>
      <c r="J206" s="44">
        <v>9.9528889203034669</v>
      </c>
      <c r="K206" s="44">
        <v>9.7927894344354307</v>
      </c>
      <c r="L206" s="44">
        <v>9.6352652657019942</v>
      </c>
      <c r="M206" s="44">
        <v>7.6820531576022315</v>
      </c>
      <c r="N206" s="44">
        <v>6.1247863020745648</v>
      </c>
      <c r="O206" s="44">
        <v>4.8832006856079868</v>
      </c>
      <c r="P206" s="44">
        <v>3.8933030084405407</v>
      </c>
      <c r="Q206" s="44">
        <v>3.1040723679872535</v>
      </c>
      <c r="R206" s="44">
        <v>2.4748305602757057</v>
      </c>
      <c r="S206" s="44">
        <v>1.9731454605377021</v>
      </c>
      <c r="T206" s="44">
        <v>1.5731594198541057</v>
      </c>
      <c r="U206" s="44">
        <v>1.2542565207540701</v>
      </c>
      <c r="V206" s="44">
        <v>1.0000000000000002</v>
      </c>
      <c r="W206" s="44">
        <v>1.0000000000000002</v>
      </c>
      <c r="X206" s="6">
        <v>1.0000000000000002</v>
      </c>
      <c r="Y206" s="6">
        <v>1.0000000000000002</v>
      </c>
      <c r="Z206" s="6">
        <v>1.0000000000000002</v>
      </c>
      <c r="AA206" s="6">
        <v>1.0000000000000002</v>
      </c>
      <c r="AB206" s="6">
        <v>1.0000000000000002</v>
      </c>
      <c r="AC206" s="6">
        <v>1.0000000000000002</v>
      </c>
      <c r="AD206" s="6">
        <v>1.0000000000000002</v>
      </c>
      <c r="AE206" s="6">
        <v>1.0000000000000002</v>
      </c>
      <c r="AF206" s="6">
        <v>1.0000000000000002</v>
      </c>
      <c r="AG206" s="6">
        <v>1.0000000000000002</v>
      </c>
      <c r="AH206" s="6">
        <v>1.0000000000000002</v>
      </c>
      <c r="AI206" s="6">
        <v>1.0000000000000002</v>
      </c>
      <c r="AJ206" s="6">
        <v>1.0000000000000002</v>
      </c>
      <c r="AK206" s="6">
        <v>1.0000000000000002</v>
      </c>
      <c r="AL206" s="6">
        <v>1.0000000000000002</v>
      </c>
      <c r="AM206" s="6">
        <v>1.0000000000000002</v>
      </c>
      <c r="AN206" s="6">
        <v>1.0000000000000002</v>
      </c>
      <c r="AO206" s="6">
        <v>1.0000000000000002</v>
      </c>
      <c r="AP206" s="6">
        <v>1.0000000000000002</v>
      </c>
      <c r="AQ206" s="6">
        <v>1.0000000000000002</v>
      </c>
      <c r="AR206" s="6">
        <v>1.0000000000000002</v>
      </c>
      <c r="AS206" s="6">
        <v>1.0000000000000002</v>
      </c>
      <c r="AT206" s="6">
        <v>1.0000000000000002</v>
      </c>
      <c r="AU206" s="6">
        <v>1.0000000000000002</v>
      </c>
      <c r="AV206" s="6">
        <v>1.0000000000000002</v>
      </c>
      <c r="AW206" s="6">
        <v>1.0000000000000002</v>
      </c>
      <c r="AX206" s="6">
        <v>1.0000000000000002</v>
      </c>
      <c r="AY206" s="6">
        <v>1.0000000000000002</v>
      </c>
      <c r="AZ206" s="6">
        <v>1.0000000000000002</v>
      </c>
      <c r="BA206" s="6">
        <v>1.0000000000000002</v>
      </c>
      <c r="BB206" s="6">
        <v>1.0000000000000002</v>
      </c>
      <c r="BC206" s="6">
        <v>1.0000000000000002</v>
      </c>
      <c r="BD206" s="6">
        <v>1.0000000000000002</v>
      </c>
      <c r="BE206" s="6">
        <v>1.0000000000000002</v>
      </c>
      <c r="BF206" s="6">
        <v>1.0000000000000002</v>
      </c>
      <c r="BG206" s="6">
        <v>1.0000000000000002</v>
      </c>
      <c r="BH206" s="6">
        <v>1.0000000000000002</v>
      </c>
      <c r="BI206" s="6">
        <v>1.0000000000000002</v>
      </c>
      <c r="BJ206" s="6">
        <v>1.0000000000000002</v>
      </c>
      <c r="BK206" s="6">
        <v>1.0000000000000002</v>
      </c>
      <c r="BL206" s="6">
        <v>1.0000000000000002</v>
      </c>
      <c r="BM206" s="6">
        <v>1.0000000000000002</v>
      </c>
      <c r="BN206" s="6">
        <v>1.0000000000000002</v>
      </c>
      <c r="BO206" s="6">
        <v>1.0000000000000002</v>
      </c>
      <c r="BP206" s="6">
        <v>1.0000000000000002</v>
      </c>
      <c r="BQ206" s="6">
        <v>1.0000000000000002</v>
      </c>
      <c r="BR206" s="6">
        <v>1.0000000000000002</v>
      </c>
      <c r="BS206" s="6">
        <v>1.0000000000000002</v>
      </c>
      <c r="BT206" s="6">
        <v>1.0000000000000002</v>
      </c>
      <c r="BU206" s="6">
        <v>1.0000000000000002</v>
      </c>
      <c r="BV206" s="6">
        <v>1.0000000000000002</v>
      </c>
      <c r="BW206" s="6">
        <v>1.0000000000000002</v>
      </c>
      <c r="BX206" s="6">
        <v>1.0000000000000002</v>
      </c>
      <c r="BY206" s="6">
        <v>1.0000000000000002</v>
      </c>
      <c r="BZ206" s="6">
        <v>1.0000000000000002</v>
      </c>
      <c r="CA206" s="6">
        <v>1.0000000000000002</v>
      </c>
      <c r="CB206" s="6">
        <v>1.0000000000000002</v>
      </c>
      <c r="CC206" s="6">
        <v>1.0000000000000002</v>
      </c>
      <c r="CD206" s="6">
        <v>1.0000000000000002</v>
      </c>
      <c r="CE206" s="45">
        <v>1.0000000000000002</v>
      </c>
    </row>
    <row r="207" spans="1:83" ht="15" thickBot="1" x14ac:dyDescent="0.35">
      <c r="A207" s="30" t="s">
        <v>171</v>
      </c>
      <c r="B207" s="7">
        <v>10.473434405906026</v>
      </c>
      <c r="C207" s="44">
        <v>10.417249216740128</v>
      </c>
      <c r="D207" s="44">
        <v>10.361365435437138</v>
      </c>
      <c r="E207" s="44">
        <v>10.305781445081619</v>
      </c>
      <c r="F207" s="44">
        <v>10.250495637432143</v>
      </c>
      <c r="G207" s="44">
        <v>10.195506412874764</v>
      </c>
      <c r="H207" s="44">
        <v>10.140812180376733</v>
      </c>
      <c r="I207" s="44">
        <v>10.086411357440465</v>
      </c>
      <c r="J207" s="44">
        <v>10.032302370057749</v>
      </c>
      <c r="K207" s="44">
        <v>9.9784836526642131</v>
      </c>
      <c r="L207" s="44">
        <v>9.9249536480940197</v>
      </c>
      <c r="M207" s="44">
        <v>7.8896118677257956</v>
      </c>
      <c r="N207" s="44">
        <v>6.2716640933948744</v>
      </c>
      <c r="O207" s="44">
        <v>4.9855140100468107</v>
      </c>
      <c r="P207" s="44">
        <v>3.9631188109308879</v>
      </c>
      <c r="Q207" s="44">
        <v>3.1503894438773785</v>
      </c>
      <c r="R207" s="44">
        <v>2.5043290705086805</v>
      </c>
      <c r="S207" s="44">
        <v>1.9907583507123325</v>
      </c>
      <c r="T207" s="44">
        <v>1.5825072102548792</v>
      </c>
      <c r="U207" s="44">
        <v>1.2579774283566774</v>
      </c>
      <c r="V207" s="44">
        <v>0.99999999999999989</v>
      </c>
      <c r="W207" s="44">
        <v>1.0000000000000002</v>
      </c>
      <c r="X207" s="6">
        <v>1.0000000000000002</v>
      </c>
      <c r="Y207" s="6">
        <v>1.0000000000000002</v>
      </c>
      <c r="Z207" s="6">
        <v>1.0000000000000002</v>
      </c>
      <c r="AA207" s="6">
        <v>1.0000000000000002</v>
      </c>
      <c r="AB207" s="6">
        <v>1.0000000000000002</v>
      </c>
      <c r="AC207" s="6">
        <v>1.0000000000000002</v>
      </c>
      <c r="AD207" s="6">
        <v>1.0000000000000002</v>
      </c>
      <c r="AE207" s="6">
        <v>1.0000000000000002</v>
      </c>
      <c r="AF207" s="6">
        <v>1.0000000000000002</v>
      </c>
      <c r="AG207" s="6">
        <v>1.0000000000000002</v>
      </c>
      <c r="AH207" s="6">
        <v>1.0000000000000002</v>
      </c>
      <c r="AI207" s="6">
        <v>1.0000000000000002</v>
      </c>
      <c r="AJ207" s="6">
        <v>1.0000000000000002</v>
      </c>
      <c r="AK207" s="6">
        <v>1.0000000000000002</v>
      </c>
      <c r="AL207" s="6">
        <v>1.0000000000000002</v>
      </c>
      <c r="AM207" s="6">
        <v>1.0000000000000002</v>
      </c>
      <c r="AN207" s="6">
        <v>1.0000000000000002</v>
      </c>
      <c r="AO207" s="6">
        <v>1.0000000000000002</v>
      </c>
      <c r="AP207" s="6">
        <v>1.0000000000000002</v>
      </c>
      <c r="AQ207" s="6">
        <v>1.0000000000000002</v>
      </c>
      <c r="AR207" s="6">
        <v>1.0000000000000002</v>
      </c>
      <c r="AS207" s="6">
        <v>1.0000000000000002</v>
      </c>
      <c r="AT207" s="6">
        <v>1.0000000000000002</v>
      </c>
      <c r="AU207" s="6">
        <v>1.0000000000000002</v>
      </c>
      <c r="AV207" s="6">
        <v>1.0000000000000002</v>
      </c>
      <c r="AW207" s="6">
        <v>1.0000000000000002</v>
      </c>
      <c r="AX207" s="6">
        <v>1.0000000000000002</v>
      </c>
      <c r="AY207" s="6">
        <v>1.0000000000000002</v>
      </c>
      <c r="AZ207" s="6">
        <v>1.0000000000000002</v>
      </c>
      <c r="BA207" s="6">
        <v>1.0000000000000002</v>
      </c>
      <c r="BB207" s="6">
        <v>1.0000000000000002</v>
      </c>
      <c r="BC207" s="6">
        <v>1.0000000000000002</v>
      </c>
      <c r="BD207" s="6">
        <v>1.0000000000000002</v>
      </c>
      <c r="BE207" s="6">
        <v>1.0000000000000002</v>
      </c>
      <c r="BF207" s="6">
        <v>1.0000000000000002</v>
      </c>
      <c r="BG207" s="6">
        <v>1.0000000000000002</v>
      </c>
      <c r="BH207" s="6">
        <v>1.0000000000000002</v>
      </c>
      <c r="BI207" s="6">
        <v>1.0000000000000002</v>
      </c>
      <c r="BJ207" s="6">
        <v>1.0000000000000002</v>
      </c>
      <c r="BK207" s="6">
        <v>1.0000000000000002</v>
      </c>
      <c r="BL207" s="6">
        <v>1.0000000000000002</v>
      </c>
      <c r="BM207" s="6">
        <v>1.0000000000000002</v>
      </c>
      <c r="BN207" s="6">
        <v>1.0000000000000002</v>
      </c>
      <c r="BO207" s="6">
        <v>1.0000000000000002</v>
      </c>
      <c r="BP207" s="6">
        <v>1.0000000000000002</v>
      </c>
      <c r="BQ207" s="6">
        <v>1.0000000000000002</v>
      </c>
      <c r="BR207" s="6">
        <v>1.0000000000000002</v>
      </c>
      <c r="BS207" s="6">
        <v>1.0000000000000002</v>
      </c>
      <c r="BT207" s="6">
        <v>1.0000000000000002</v>
      </c>
      <c r="BU207" s="6">
        <v>1.0000000000000002</v>
      </c>
      <c r="BV207" s="6">
        <v>1.0000000000000002</v>
      </c>
      <c r="BW207" s="6">
        <v>1.0000000000000002</v>
      </c>
      <c r="BX207" s="6">
        <v>1.0000000000000002</v>
      </c>
      <c r="BY207" s="6">
        <v>1.0000000000000002</v>
      </c>
      <c r="BZ207" s="6">
        <v>1.0000000000000002</v>
      </c>
      <c r="CA207" s="6">
        <v>1.0000000000000002</v>
      </c>
      <c r="CB207" s="6">
        <v>1.0000000000000002</v>
      </c>
      <c r="CC207" s="6">
        <v>1.0000000000000002</v>
      </c>
      <c r="CD207" s="6">
        <v>1.0000000000000002</v>
      </c>
      <c r="CE207" s="45">
        <v>1.0000000000000002</v>
      </c>
    </row>
    <row r="208" spans="1:83" ht="15" thickBot="1" x14ac:dyDescent="0.35">
      <c r="A208" s="30" t="s">
        <v>172</v>
      </c>
      <c r="B208" s="7">
        <v>3.5103056345612238</v>
      </c>
      <c r="C208" s="44">
        <v>3.4914744490623462</v>
      </c>
      <c r="D208" s="44">
        <v>3.4727442842677063</v>
      </c>
      <c r="E208" s="44">
        <v>3.4541145982473931</v>
      </c>
      <c r="F208" s="44">
        <v>3.4355848519787018</v>
      </c>
      <c r="G208" s="44">
        <v>3.4171545093305373</v>
      </c>
      <c r="H208" s="44">
        <v>3.3988230370479044</v>
      </c>
      <c r="I208" s="44">
        <v>3.380589904736476</v>
      </c>
      <c r="J208" s="44">
        <v>3.3624545848472489</v>
      </c>
      <c r="K208" s="44">
        <v>3.3444165526612779</v>
      </c>
      <c r="L208" s="44">
        <v>3.3264752862744968</v>
      </c>
      <c r="M208" s="44">
        <v>2.9497544917177181</v>
      </c>
      <c r="N208" s="44">
        <v>2.6156970404411579</v>
      </c>
      <c r="O208" s="44">
        <v>2.3194713412872652</v>
      </c>
      <c r="P208" s="44">
        <v>2.0567929771200015</v>
      </c>
      <c r="Q208" s="44">
        <v>1.8238627377833279</v>
      </c>
      <c r="R208" s="44">
        <v>1.6173116707799882</v>
      </c>
      <c r="S208" s="44">
        <v>1.4341523549191004</v>
      </c>
      <c r="T208" s="44">
        <v>1.2717356921860723</v>
      </c>
      <c r="U208" s="44">
        <v>1.1277125929003682</v>
      </c>
      <c r="V208" s="44">
        <v>0.99999999999999989</v>
      </c>
      <c r="W208" s="44">
        <v>0.99999999999999989</v>
      </c>
      <c r="X208" s="6">
        <v>0.99999999999999989</v>
      </c>
      <c r="Y208" s="6">
        <v>0.99999999999999989</v>
      </c>
      <c r="Z208" s="6">
        <v>0.99999999999999989</v>
      </c>
      <c r="AA208" s="6">
        <v>0.99999999999999989</v>
      </c>
      <c r="AB208" s="6">
        <v>0.99999999999999989</v>
      </c>
      <c r="AC208" s="6">
        <v>0.99999999999999989</v>
      </c>
      <c r="AD208" s="6">
        <v>0.99999999999999989</v>
      </c>
      <c r="AE208" s="6">
        <v>0.99999999999999989</v>
      </c>
      <c r="AF208" s="6">
        <v>0.99999999999999989</v>
      </c>
      <c r="AG208" s="6">
        <v>0.99999999999999989</v>
      </c>
      <c r="AH208" s="6">
        <v>0.99999999999999989</v>
      </c>
      <c r="AI208" s="6">
        <v>0.99999999999999989</v>
      </c>
      <c r="AJ208" s="6">
        <v>0.99999999999999989</v>
      </c>
      <c r="AK208" s="6">
        <v>0.99999999999999989</v>
      </c>
      <c r="AL208" s="6">
        <v>0.99999999999999989</v>
      </c>
      <c r="AM208" s="6">
        <v>0.99999999999999989</v>
      </c>
      <c r="AN208" s="6">
        <v>0.99999999999999989</v>
      </c>
      <c r="AO208" s="6">
        <v>0.99999999999999989</v>
      </c>
      <c r="AP208" s="6">
        <v>0.99999999999999989</v>
      </c>
      <c r="AQ208" s="6">
        <v>0.99999999999999989</v>
      </c>
      <c r="AR208" s="6">
        <v>0.99999999999999989</v>
      </c>
      <c r="AS208" s="6">
        <v>0.99999999999999989</v>
      </c>
      <c r="AT208" s="6">
        <v>0.99999999999999989</v>
      </c>
      <c r="AU208" s="6">
        <v>0.99999999999999989</v>
      </c>
      <c r="AV208" s="6">
        <v>0.99999999999999989</v>
      </c>
      <c r="AW208" s="6">
        <v>0.99999999999999989</v>
      </c>
      <c r="AX208" s="6">
        <v>0.99999999999999989</v>
      </c>
      <c r="AY208" s="6">
        <v>0.99999999999999989</v>
      </c>
      <c r="AZ208" s="6">
        <v>0.99999999999999989</v>
      </c>
      <c r="BA208" s="6">
        <v>0.99999999999999989</v>
      </c>
      <c r="BB208" s="6">
        <v>0.99999999999999989</v>
      </c>
      <c r="BC208" s="6">
        <v>0.99999999999999989</v>
      </c>
      <c r="BD208" s="6">
        <v>0.99999999999999989</v>
      </c>
      <c r="BE208" s="6">
        <v>0.99999999999999989</v>
      </c>
      <c r="BF208" s="6">
        <v>0.99999999999999989</v>
      </c>
      <c r="BG208" s="6">
        <v>0.99999999999999989</v>
      </c>
      <c r="BH208" s="6">
        <v>0.99999999999999989</v>
      </c>
      <c r="BI208" s="6">
        <v>0.99999999999999989</v>
      </c>
      <c r="BJ208" s="6">
        <v>0.99999999999999989</v>
      </c>
      <c r="BK208" s="6">
        <v>0.99999999999999989</v>
      </c>
      <c r="BL208" s="6">
        <v>0.99999999999999989</v>
      </c>
      <c r="BM208" s="6">
        <v>0.99999999999999989</v>
      </c>
      <c r="BN208" s="6">
        <v>0.99999999999999989</v>
      </c>
      <c r="BO208" s="6">
        <v>0.99999999999999989</v>
      </c>
      <c r="BP208" s="6">
        <v>0.99999999999999989</v>
      </c>
      <c r="BQ208" s="6">
        <v>0.99999999999999989</v>
      </c>
      <c r="BR208" s="6">
        <v>0.99999999999999989</v>
      </c>
      <c r="BS208" s="6">
        <v>0.99999999999999989</v>
      </c>
      <c r="BT208" s="6">
        <v>0.99999999999999989</v>
      </c>
      <c r="BU208" s="6">
        <v>0.99999999999999989</v>
      </c>
      <c r="BV208" s="6">
        <v>0.99999999999999989</v>
      </c>
      <c r="BW208" s="6">
        <v>0.99999999999999989</v>
      </c>
      <c r="BX208" s="6">
        <v>0.99999999999999989</v>
      </c>
      <c r="BY208" s="6">
        <v>0.99999999999999989</v>
      </c>
      <c r="BZ208" s="6">
        <v>0.99999999999999989</v>
      </c>
      <c r="CA208" s="6">
        <v>0.99999999999999989</v>
      </c>
      <c r="CB208" s="6">
        <v>0.99999999999999989</v>
      </c>
      <c r="CC208" s="6">
        <v>0.99999999999999989</v>
      </c>
      <c r="CD208" s="6">
        <v>0.99999999999999989</v>
      </c>
      <c r="CE208" s="45">
        <v>0.99999999999999989</v>
      </c>
    </row>
    <row r="209" spans="1:83" ht="15" thickBot="1" x14ac:dyDescent="0.35">
      <c r="A209" s="60" t="s">
        <v>173</v>
      </c>
      <c r="B209" s="7">
        <v>1.4150479614126736</v>
      </c>
      <c r="C209" s="44">
        <v>1.4074568757850254</v>
      </c>
      <c r="D209" s="44">
        <v>1.399906512862598</v>
      </c>
      <c r="E209" s="44">
        <v>1.392396654186689</v>
      </c>
      <c r="F209" s="44">
        <v>1.3849270824705258</v>
      </c>
      <c r="G209" s="44">
        <v>1.3774975815929815</v>
      </c>
      <c r="H209" s="44">
        <v>1.370107936592319</v>
      </c>
      <c r="I209" s="44">
        <v>1.3627579336599733</v>
      </c>
      <c r="J209" s="44">
        <v>1.3554473601343646</v>
      </c>
      <c r="K209" s="44">
        <v>1.3481760044947453</v>
      </c>
      <c r="L209" s="44">
        <v>1.3409436563550798</v>
      </c>
      <c r="M209" s="44">
        <v>1.3021753713697652</v>
      </c>
      <c r="N209" s="44">
        <v>1.2645279238734681</v>
      </c>
      <c r="O209" s="44">
        <v>1.2279689091137655</v>
      </c>
      <c r="P209" s="44">
        <v>1.1924668591983871</v>
      </c>
      <c r="Q209" s="44">
        <v>1.1579912160094652</v>
      </c>
      <c r="R209" s="44">
        <v>1.1245123049008703</v>
      </c>
      <c r="S209" s="44">
        <v>1.0920013091559859</v>
      </c>
      <c r="T209" s="44">
        <v>1.0604302451839396</v>
      </c>
      <c r="U209" s="44">
        <v>1.0297719384329425</v>
      </c>
      <c r="V209" s="44">
        <v>1</v>
      </c>
      <c r="W209" s="44">
        <v>0.99999999999999989</v>
      </c>
      <c r="X209" s="6">
        <v>0.99999999999999989</v>
      </c>
      <c r="Y209" s="6">
        <v>0.99999999999999989</v>
      </c>
      <c r="Z209" s="6">
        <v>0.99999999999999989</v>
      </c>
      <c r="AA209" s="6">
        <v>0.99999999999999989</v>
      </c>
      <c r="AB209" s="6">
        <v>0.99999999999999989</v>
      </c>
      <c r="AC209" s="6">
        <v>0.99999999999999989</v>
      </c>
      <c r="AD209" s="6">
        <v>0.99999999999999989</v>
      </c>
      <c r="AE209" s="6">
        <v>0.99999999999999989</v>
      </c>
      <c r="AF209" s="6">
        <v>0.99999999999999989</v>
      </c>
      <c r="AG209" s="6">
        <v>0.99999999999999989</v>
      </c>
      <c r="AH209" s="6">
        <v>0.99999999999999989</v>
      </c>
      <c r="AI209" s="6">
        <v>0.99999999999999989</v>
      </c>
      <c r="AJ209" s="6">
        <v>0.99999999999999989</v>
      </c>
      <c r="AK209" s="6">
        <v>0.99999999999999989</v>
      </c>
      <c r="AL209" s="6">
        <v>0.99999999999999989</v>
      </c>
      <c r="AM209" s="6">
        <v>0.99999999999999989</v>
      </c>
      <c r="AN209" s="6">
        <v>0.99999999999999989</v>
      </c>
      <c r="AO209" s="6">
        <v>0.99999999999999989</v>
      </c>
      <c r="AP209" s="6">
        <v>0.99999999999999989</v>
      </c>
      <c r="AQ209" s="6">
        <v>0.99999999999999989</v>
      </c>
      <c r="AR209" s="6">
        <v>0.99999999999999989</v>
      </c>
      <c r="AS209" s="6">
        <v>0.99999999999999989</v>
      </c>
      <c r="AT209" s="6">
        <v>0.99999999999999989</v>
      </c>
      <c r="AU209" s="6">
        <v>0.99999999999999989</v>
      </c>
      <c r="AV209" s="6">
        <v>0.99999999999999989</v>
      </c>
      <c r="AW209" s="6">
        <v>0.99999999999999989</v>
      </c>
      <c r="AX209" s="6">
        <v>0.99999999999999989</v>
      </c>
      <c r="AY209" s="6">
        <v>0.99999999999999989</v>
      </c>
      <c r="AZ209" s="6">
        <v>0.99999999999999989</v>
      </c>
      <c r="BA209" s="6">
        <v>0.99999999999999989</v>
      </c>
      <c r="BB209" s="6">
        <v>0.99999999999999989</v>
      </c>
      <c r="BC209" s="6">
        <v>0.99999999999999989</v>
      </c>
      <c r="BD209" s="6">
        <v>0.99999999999999989</v>
      </c>
      <c r="BE209" s="6">
        <v>0.99999999999999989</v>
      </c>
      <c r="BF209" s="6">
        <v>0.99999999999999989</v>
      </c>
      <c r="BG209" s="6">
        <v>0.99999999999999989</v>
      </c>
      <c r="BH209" s="6">
        <v>0.99999999999999989</v>
      </c>
      <c r="BI209" s="6">
        <v>0.99999999999999989</v>
      </c>
      <c r="BJ209" s="6">
        <v>0.99999999999999989</v>
      </c>
      <c r="BK209" s="6">
        <v>0.99999999999999989</v>
      </c>
      <c r="BL209" s="6">
        <v>0.99999999999999989</v>
      </c>
      <c r="BM209" s="6">
        <v>0.99999999999999989</v>
      </c>
      <c r="BN209" s="6">
        <v>0.99999999999999989</v>
      </c>
      <c r="BO209" s="6">
        <v>0.99999999999999989</v>
      </c>
      <c r="BP209" s="6">
        <v>0.99999999999999989</v>
      </c>
      <c r="BQ209" s="6">
        <v>0.99999999999999989</v>
      </c>
      <c r="BR209" s="6">
        <v>0.99999999999999989</v>
      </c>
      <c r="BS209" s="6">
        <v>0.99999999999999989</v>
      </c>
      <c r="BT209" s="6">
        <v>0.99999999999999989</v>
      </c>
      <c r="BU209" s="6">
        <v>0.99999999999999989</v>
      </c>
      <c r="BV209" s="6">
        <v>0.99999999999999989</v>
      </c>
      <c r="BW209" s="6">
        <v>0.99999999999999989</v>
      </c>
      <c r="BX209" s="6">
        <v>0.99999999999999989</v>
      </c>
      <c r="BY209" s="6">
        <v>0.99999999999999989</v>
      </c>
      <c r="BZ209" s="6">
        <v>0.99999999999999989</v>
      </c>
      <c r="CA209" s="6">
        <v>0.99999999999999989</v>
      </c>
      <c r="CB209" s="6">
        <v>0.99999999999999989</v>
      </c>
      <c r="CC209" s="6">
        <v>0.99999999999999989</v>
      </c>
      <c r="CD209" s="6">
        <v>0.99999999999999989</v>
      </c>
      <c r="CE209" s="45">
        <v>0.99999999999999989</v>
      </c>
    </row>
    <row r="210" spans="1:83" ht="15" thickBot="1" x14ac:dyDescent="0.35">
      <c r="A210" s="30" t="s">
        <v>174</v>
      </c>
      <c r="B210" s="7">
        <v>5.1293902273419114</v>
      </c>
      <c r="C210" s="44">
        <v>5.1293902273419114</v>
      </c>
      <c r="D210" s="44">
        <v>5.1293902273419114</v>
      </c>
      <c r="E210" s="44">
        <v>5.1293902273419123</v>
      </c>
      <c r="F210" s="44">
        <v>5.1293902273419123</v>
      </c>
      <c r="G210" s="44">
        <v>5.1293902273419123</v>
      </c>
      <c r="H210" s="44">
        <v>5.1293902273419123</v>
      </c>
      <c r="I210" s="44">
        <v>5.1293902273419123</v>
      </c>
      <c r="J210" s="44">
        <v>5.1293902273419141</v>
      </c>
      <c r="K210" s="44">
        <v>5.1293902273419141</v>
      </c>
      <c r="L210" s="44">
        <v>5.1293902273419141</v>
      </c>
      <c r="M210" s="44">
        <v>4.355712096105294</v>
      </c>
      <c r="N210" s="44">
        <v>3.6987296780478154</v>
      </c>
      <c r="O210" s="44">
        <v>3.1408414811218477</v>
      </c>
      <c r="P210" s="44">
        <v>2.667100888200717</v>
      </c>
      <c r="Q210" s="44">
        <v>2.2648157159782145</v>
      </c>
      <c r="R210" s="44">
        <v>1.9232081733519684</v>
      </c>
      <c r="S210" s="44">
        <v>1.6331261090928395</v>
      </c>
      <c r="T210" s="44">
        <v>1.3867978127153098</v>
      </c>
      <c r="U210" s="44">
        <v>1.1776237993159402</v>
      </c>
      <c r="V210" s="44">
        <v>0.99999999999999978</v>
      </c>
      <c r="W210" s="44">
        <v>0.99999999999999989</v>
      </c>
      <c r="X210" s="6">
        <v>0.99999999999999989</v>
      </c>
      <c r="Y210" s="6">
        <v>0.99999999999999989</v>
      </c>
      <c r="Z210" s="6">
        <v>0.99999999999999989</v>
      </c>
      <c r="AA210" s="6">
        <v>0.99999999999999989</v>
      </c>
      <c r="AB210" s="6">
        <v>0.99999999999999989</v>
      </c>
      <c r="AC210" s="6">
        <v>0.99999999999999989</v>
      </c>
      <c r="AD210" s="6">
        <v>0.99999999999999989</v>
      </c>
      <c r="AE210" s="6">
        <v>0.99999999999999989</v>
      </c>
      <c r="AF210" s="6">
        <v>0.99999999999999989</v>
      </c>
      <c r="AG210" s="6">
        <v>0.99999999999999989</v>
      </c>
      <c r="AH210" s="6">
        <v>0.99999999999999989</v>
      </c>
      <c r="AI210" s="6">
        <v>0.99999999999999989</v>
      </c>
      <c r="AJ210" s="6">
        <v>0.99999999999999989</v>
      </c>
      <c r="AK210" s="6">
        <v>0.99999999999999989</v>
      </c>
      <c r="AL210" s="6">
        <v>0.99999999999999989</v>
      </c>
      <c r="AM210" s="6">
        <v>0.99999999999999989</v>
      </c>
      <c r="AN210" s="6">
        <v>0.99999999999999989</v>
      </c>
      <c r="AO210" s="6">
        <v>0.99999999999999989</v>
      </c>
      <c r="AP210" s="6">
        <v>0.99999999999999989</v>
      </c>
      <c r="AQ210" s="6">
        <v>0.99999999999999989</v>
      </c>
      <c r="AR210" s="6">
        <v>0.99999999999999989</v>
      </c>
      <c r="AS210" s="6">
        <v>0.99999999999999989</v>
      </c>
      <c r="AT210" s="6">
        <v>0.99999999999999989</v>
      </c>
      <c r="AU210" s="6">
        <v>0.99999999999999989</v>
      </c>
      <c r="AV210" s="6">
        <v>0.99999999999999989</v>
      </c>
      <c r="AW210" s="6">
        <v>0.99999999999999989</v>
      </c>
      <c r="AX210" s="6">
        <v>0.99999999999999989</v>
      </c>
      <c r="AY210" s="6">
        <v>0.99999999999999989</v>
      </c>
      <c r="AZ210" s="6">
        <v>0.99999999999999989</v>
      </c>
      <c r="BA210" s="6">
        <v>0.99999999999999989</v>
      </c>
      <c r="BB210" s="6">
        <v>0.99999999999999989</v>
      </c>
      <c r="BC210" s="6">
        <v>0.99999999999999989</v>
      </c>
      <c r="BD210" s="6">
        <v>0.99999999999999989</v>
      </c>
      <c r="BE210" s="6">
        <v>0.99999999999999989</v>
      </c>
      <c r="BF210" s="6">
        <v>0.99999999999999989</v>
      </c>
      <c r="BG210" s="6">
        <v>0.99999999999999989</v>
      </c>
      <c r="BH210" s="6">
        <v>0.99999999999999989</v>
      </c>
      <c r="BI210" s="6">
        <v>0.99999999999999989</v>
      </c>
      <c r="BJ210" s="6">
        <v>0.99999999999999989</v>
      </c>
      <c r="BK210" s="6">
        <v>0.99999999999999989</v>
      </c>
      <c r="BL210" s="6">
        <v>0.99999999999999989</v>
      </c>
      <c r="BM210" s="6">
        <v>0.99999999999999989</v>
      </c>
      <c r="BN210" s="6">
        <v>0.99999999999999989</v>
      </c>
      <c r="BO210" s="6">
        <v>0.99999999999999989</v>
      </c>
      <c r="BP210" s="6">
        <v>0.99999999999999989</v>
      </c>
      <c r="BQ210" s="6">
        <v>0.99999999999999989</v>
      </c>
      <c r="BR210" s="6">
        <v>0.99999999999999989</v>
      </c>
      <c r="BS210" s="6">
        <v>0.99999999999999989</v>
      </c>
      <c r="BT210" s="6">
        <v>0.99999999999999989</v>
      </c>
      <c r="BU210" s="6">
        <v>0.99999999999999989</v>
      </c>
      <c r="BV210" s="6">
        <v>0.99999999999999989</v>
      </c>
      <c r="BW210" s="6">
        <v>0.99999999999999989</v>
      </c>
      <c r="BX210" s="6">
        <v>0.99999999999999989</v>
      </c>
      <c r="BY210" s="6">
        <v>0.99999999999999989</v>
      </c>
      <c r="BZ210" s="6">
        <v>0.99999999999999989</v>
      </c>
      <c r="CA210" s="6">
        <v>0.99999999999999989</v>
      </c>
      <c r="CB210" s="6">
        <v>0.99999999999999989</v>
      </c>
      <c r="CC210" s="6">
        <v>0.99999999999999989</v>
      </c>
      <c r="CD210" s="6">
        <v>0.99999999999999989</v>
      </c>
      <c r="CE210" s="45">
        <v>0.99999999999999989</v>
      </c>
    </row>
    <row r="211" spans="1:83" ht="15" thickBot="1" x14ac:dyDescent="0.35">
      <c r="A211" s="30" t="s">
        <v>175</v>
      </c>
      <c r="B211" s="7">
        <v>1.8731344993555814</v>
      </c>
      <c r="C211" s="44">
        <v>1.8731344993555814</v>
      </c>
      <c r="D211" s="44">
        <v>1.8731344993555814</v>
      </c>
      <c r="E211" s="44">
        <v>1.8731344993555819</v>
      </c>
      <c r="F211" s="44">
        <v>1.8731344993555819</v>
      </c>
      <c r="G211" s="44">
        <v>1.8731344993555819</v>
      </c>
      <c r="H211" s="44">
        <v>1.8731344993555819</v>
      </c>
      <c r="I211" s="44">
        <v>1.8731344993555819</v>
      </c>
      <c r="J211" s="44">
        <v>1.8731344993555823</v>
      </c>
      <c r="K211" s="44">
        <v>1.8731344993555823</v>
      </c>
      <c r="L211" s="44">
        <v>1.8731344993555823</v>
      </c>
      <c r="M211" s="44">
        <v>1.7591872408586884</v>
      </c>
      <c r="N211" s="44">
        <v>1.6521716670451019</v>
      </c>
      <c r="O211" s="44">
        <v>1.5516661069313995</v>
      </c>
      <c r="P211" s="44">
        <v>1.4572745407901486</v>
      </c>
      <c r="Q211" s="44">
        <v>1.3686250397225614</v>
      </c>
      <c r="R211" s="44">
        <v>1.2853683001556799</v>
      </c>
      <c r="S211" s="44">
        <v>1.2071762674896109</v>
      </c>
      <c r="T211" s="44">
        <v>1.1337408434715934</v>
      </c>
      <c r="U211" s="44">
        <v>1.0647726722035993</v>
      </c>
      <c r="V211" s="44">
        <v>1</v>
      </c>
      <c r="W211" s="44">
        <v>1</v>
      </c>
      <c r="X211" s="6">
        <v>1</v>
      </c>
      <c r="Y211" s="6">
        <v>1</v>
      </c>
      <c r="Z211" s="6">
        <v>1</v>
      </c>
      <c r="AA211" s="6">
        <v>1</v>
      </c>
      <c r="AB211" s="6">
        <v>1</v>
      </c>
      <c r="AC211" s="6">
        <v>1</v>
      </c>
      <c r="AD211" s="6">
        <v>1</v>
      </c>
      <c r="AE211" s="6">
        <v>1</v>
      </c>
      <c r="AF211" s="6">
        <v>1</v>
      </c>
      <c r="AG211" s="6">
        <v>1</v>
      </c>
      <c r="AH211" s="6">
        <v>1</v>
      </c>
      <c r="AI211" s="6">
        <v>1</v>
      </c>
      <c r="AJ211" s="6">
        <v>1</v>
      </c>
      <c r="AK211" s="6">
        <v>1</v>
      </c>
      <c r="AL211" s="6">
        <v>1</v>
      </c>
      <c r="AM211" s="6">
        <v>1</v>
      </c>
      <c r="AN211" s="6">
        <v>1</v>
      </c>
      <c r="AO211" s="6">
        <v>1</v>
      </c>
      <c r="AP211" s="6">
        <v>1</v>
      </c>
      <c r="AQ211" s="6">
        <v>1</v>
      </c>
      <c r="AR211" s="6">
        <v>1</v>
      </c>
      <c r="AS211" s="6">
        <v>1</v>
      </c>
      <c r="AT211" s="6">
        <v>1</v>
      </c>
      <c r="AU211" s="6">
        <v>1</v>
      </c>
      <c r="AV211" s="6">
        <v>1</v>
      </c>
      <c r="AW211" s="6">
        <v>1</v>
      </c>
      <c r="AX211" s="6">
        <v>1</v>
      </c>
      <c r="AY211" s="6">
        <v>1</v>
      </c>
      <c r="AZ211" s="6">
        <v>1</v>
      </c>
      <c r="BA211" s="6">
        <v>1</v>
      </c>
      <c r="BB211" s="6">
        <v>1</v>
      </c>
      <c r="BC211" s="6">
        <v>1</v>
      </c>
      <c r="BD211" s="6">
        <v>1</v>
      </c>
      <c r="BE211" s="6">
        <v>1</v>
      </c>
      <c r="BF211" s="6">
        <v>1</v>
      </c>
      <c r="BG211" s="6">
        <v>1</v>
      </c>
      <c r="BH211" s="6">
        <v>1</v>
      </c>
      <c r="BI211" s="6">
        <v>1</v>
      </c>
      <c r="BJ211" s="6">
        <v>1</v>
      </c>
      <c r="BK211" s="6">
        <v>1</v>
      </c>
      <c r="BL211" s="6">
        <v>1</v>
      </c>
      <c r="BM211" s="6">
        <v>1</v>
      </c>
      <c r="BN211" s="6">
        <v>1</v>
      </c>
      <c r="BO211" s="6">
        <v>1</v>
      </c>
      <c r="BP211" s="6">
        <v>1</v>
      </c>
      <c r="BQ211" s="6">
        <v>1</v>
      </c>
      <c r="BR211" s="6">
        <v>1</v>
      </c>
      <c r="BS211" s="6">
        <v>1</v>
      </c>
      <c r="BT211" s="6">
        <v>1</v>
      </c>
      <c r="BU211" s="6">
        <v>1</v>
      </c>
      <c r="BV211" s="6">
        <v>1</v>
      </c>
      <c r="BW211" s="6">
        <v>1</v>
      </c>
      <c r="BX211" s="6">
        <v>1</v>
      </c>
      <c r="BY211" s="6">
        <v>1</v>
      </c>
      <c r="BZ211" s="6">
        <v>1</v>
      </c>
      <c r="CA211" s="6">
        <v>1</v>
      </c>
      <c r="CB211" s="6">
        <v>1</v>
      </c>
      <c r="CC211" s="6">
        <v>1</v>
      </c>
      <c r="CD211" s="6">
        <v>1</v>
      </c>
      <c r="CE211" s="45">
        <v>1</v>
      </c>
    </row>
    <row r="212" spans="1:83" ht="15" thickBot="1" x14ac:dyDescent="0.35">
      <c r="A212" s="46" t="s">
        <v>176</v>
      </c>
      <c r="B212" s="44">
        <v>1</v>
      </c>
      <c r="C212" s="44">
        <v>1</v>
      </c>
      <c r="D212" s="44">
        <v>1</v>
      </c>
      <c r="E212" s="44">
        <v>1</v>
      </c>
      <c r="F212" s="44">
        <v>1</v>
      </c>
      <c r="G212" s="44">
        <v>1</v>
      </c>
      <c r="H212" s="44">
        <v>1</v>
      </c>
      <c r="I212" s="44">
        <v>1</v>
      </c>
      <c r="J212" s="44">
        <v>1</v>
      </c>
      <c r="K212" s="44">
        <v>1</v>
      </c>
      <c r="L212" s="44">
        <v>1</v>
      </c>
      <c r="M212" s="44">
        <v>1</v>
      </c>
      <c r="N212" s="44">
        <v>1</v>
      </c>
      <c r="O212" s="44">
        <v>1</v>
      </c>
      <c r="P212" s="44">
        <v>1</v>
      </c>
      <c r="Q212" s="44">
        <v>1</v>
      </c>
      <c r="R212" s="44">
        <v>1</v>
      </c>
      <c r="S212" s="44">
        <v>1</v>
      </c>
      <c r="T212" s="44">
        <v>1</v>
      </c>
      <c r="U212" s="44">
        <v>1</v>
      </c>
      <c r="V212" s="44">
        <v>1</v>
      </c>
      <c r="W212" s="44">
        <v>1</v>
      </c>
      <c r="X212" s="56">
        <v>1</v>
      </c>
      <c r="Y212" s="56">
        <v>1</v>
      </c>
      <c r="Z212" s="56">
        <v>1</v>
      </c>
      <c r="AA212" s="56">
        <v>1</v>
      </c>
      <c r="AB212" s="56">
        <v>1</v>
      </c>
      <c r="AC212" s="56">
        <v>1</v>
      </c>
      <c r="AD212" s="56">
        <v>1</v>
      </c>
      <c r="AE212" s="56">
        <v>1</v>
      </c>
      <c r="AF212" s="56">
        <v>1</v>
      </c>
      <c r="AG212" s="56">
        <v>1</v>
      </c>
      <c r="AH212" s="56">
        <v>1</v>
      </c>
      <c r="AI212" s="56">
        <v>1</v>
      </c>
      <c r="AJ212" s="56">
        <v>1</v>
      </c>
      <c r="AK212" s="56">
        <v>1</v>
      </c>
      <c r="AL212" s="56">
        <v>1</v>
      </c>
      <c r="AM212" s="56">
        <v>1</v>
      </c>
      <c r="AN212" s="56">
        <v>1</v>
      </c>
      <c r="AO212" s="56">
        <v>1</v>
      </c>
      <c r="AP212" s="56">
        <v>1</v>
      </c>
      <c r="AQ212" s="56">
        <v>1</v>
      </c>
      <c r="AR212" s="56">
        <v>1</v>
      </c>
      <c r="AS212" s="56">
        <v>1</v>
      </c>
      <c r="AT212" s="56">
        <v>1</v>
      </c>
      <c r="AU212" s="56">
        <v>1</v>
      </c>
      <c r="AV212" s="56">
        <v>1</v>
      </c>
      <c r="AW212" s="56">
        <v>1</v>
      </c>
      <c r="AX212" s="56">
        <v>1</v>
      </c>
      <c r="AY212" s="56">
        <v>1</v>
      </c>
      <c r="AZ212" s="56">
        <v>1</v>
      </c>
      <c r="BA212" s="56">
        <v>1</v>
      </c>
      <c r="BB212" s="56">
        <v>1</v>
      </c>
      <c r="BC212" s="56">
        <v>1</v>
      </c>
      <c r="BD212" s="56">
        <v>1</v>
      </c>
      <c r="BE212" s="56">
        <v>1</v>
      </c>
      <c r="BF212" s="56">
        <v>1</v>
      </c>
      <c r="BG212" s="56">
        <v>1</v>
      </c>
      <c r="BH212" s="56">
        <v>1</v>
      </c>
      <c r="BI212" s="56">
        <v>1</v>
      </c>
      <c r="BJ212" s="56">
        <v>1</v>
      </c>
      <c r="BK212" s="56">
        <v>1</v>
      </c>
      <c r="BL212" s="56">
        <v>1</v>
      </c>
      <c r="BM212" s="56">
        <v>1</v>
      </c>
      <c r="BN212" s="56">
        <v>1</v>
      </c>
      <c r="BO212" s="56">
        <v>1</v>
      </c>
      <c r="BP212" s="56">
        <v>1</v>
      </c>
      <c r="BQ212" s="56">
        <v>1</v>
      </c>
      <c r="BR212" s="56">
        <v>1</v>
      </c>
      <c r="BS212" s="56">
        <v>1</v>
      </c>
      <c r="BT212" s="56">
        <v>1</v>
      </c>
      <c r="BU212" s="56">
        <v>1</v>
      </c>
      <c r="BV212" s="56">
        <v>1</v>
      </c>
      <c r="BW212" s="56">
        <v>1</v>
      </c>
      <c r="BX212" s="56">
        <v>1</v>
      </c>
      <c r="BY212" s="56">
        <v>1</v>
      </c>
      <c r="BZ212" s="56">
        <v>1</v>
      </c>
      <c r="CA212" s="56">
        <v>1</v>
      </c>
      <c r="CB212" s="56">
        <v>1</v>
      </c>
      <c r="CC212" s="56">
        <v>1</v>
      </c>
      <c r="CD212" s="56">
        <v>1</v>
      </c>
      <c r="CE212" s="57">
        <v>1</v>
      </c>
    </row>
    <row r="215" spans="1:83" ht="15" thickBot="1" x14ac:dyDescent="0.35">
      <c r="A215" s="1" t="s">
        <v>46</v>
      </c>
      <c r="B215" s="3"/>
      <c r="D215" s="11" t="s">
        <v>138</v>
      </c>
    </row>
    <row r="216" spans="1:83" ht="15" thickBot="1" x14ac:dyDescent="0.35">
      <c r="A216" s="15" t="s">
        <v>65</v>
      </c>
      <c r="B216" s="103">
        <v>2E-3</v>
      </c>
      <c r="E216" s="3" t="s">
        <v>139</v>
      </c>
    </row>
    <row r="217" spans="1:83" x14ac:dyDescent="0.3">
      <c r="A217" s="15" t="s">
        <v>65</v>
      </c>
      <c r="B217" s="155">
        <v>3.0000000000000001E-3</v>
      </c>
      <c r="D217" s="13" t="s">
        <v>47</v>
      </c>
      <c r="E217" s="103">
        <v>5.4712999999999998E-2</v>
      </c>
    </row>
    <row r="218" spans="1:83" x14ac:dyDescent="0.3">
      <c r="A218" s="15" t="s">
        <v>65</v>
      </c>
      <c r="B218" s="155">
        <v>4.0000000000000001E-3</v>
      </c>
      <c r="D218" s="13" t="s">
        <v>48</v>
      </c>
      <c r="E218" s="155">
        <v>0.153196</v>
      </c>
    </row>
    <row r="219" spans="1:83" ht="15" thickBot="1" x14ac:dyDescent="0.35">
      <c r="A219" s="13" t="s">
        <v>66</v>
      </c>
      <c r="B219" s="156">
        <v>7.9577999999999998</v>
      </c>
      <c r="D219" s="13" t="s">
        <v>49</v>
      </c>
      <c r="E219" s="156">
        <v>1.107237</v>
      </c>
    </row>
    <row r="221" spans="1:83" ht="15" thickBot="1" x14ac:dyDescent="0.35"/>
    <row r="222" spans="1:83" ht="15" thickBot="1" x14ac:dyDescent="0.35">
      <c r="B222" s="55">
        <v>1</v>
      </c>
      <c r="C222" s="55">
        <v>2</v>
      </c>
      <c r="D222" s="55">
        <v>3</v>
      </c>
      <c r="E222" s="55">
        <v>4</v>
      </c>
      <c r="F222" s="55">
        <v>5</v>
      </c>
      <c r="G222" s="55">
        <v>6</v>
      </c>
      <c r="H222" s="55">
        <v>7</v>
      </c>
      <c r="I222" s="55">
        <v>8</v>
      </c>
      <c r="J222" s="55">
        <v>9</v>
      </c>
      <c r="K222" s="55">
        <v>10</v>
      </c>
      <c r="L222" s="55">
        <v>11</v>
      </c>
      <c r="M222" s="55">
        <v>12</v>
      </c>
      <c r="N222" s="55">
        <v>13</v>
      </c>
      <c r="O222" s="55">
        <v>14</v>
      </c>
      <c r="P222" s="55">
        <v>15</v>
      </c>
      <c r="Q222" s="55">
        <v>16</v>
      </c>
      <c r="R222" s="55">
        <v>17</v>
      </c>
      <c r="S222" s="55">
        <v>18</v>
      </c>
      <c r="T222" s="55">
        <v>19</v>
      </c>
      <c r="U222" s="55">
        <v>20</v>
      </c>
      <c r="V222" s="55">
        <v>21</v>
      </c>
      <c r="W222" s="55">
        <v>22</v>
      </c>
      <c r="X222" s="55">
        <v>23</v>
      </c>
      <c r="Y222" s="55">
        <v>24</v>
      </c>
      <c r="Z222" s="55">
        <v>25</v>
      </c>
    </row>
    <row r="223" spans="1:83" x14ac:dyDescent="0.3">
      <c r="A223" s="1" t="s">
        <v>45</v>
      </c>
      <c r="B223" s="154">
        <v>9.3025266458600958E-2</v>
      </c>
      <c r="C223" s="96">
        <v>1.6018444605467381E-2</v>
      </c>
      <c r="D223" s="96">
        <v>9.3025266458600972E-2</v>
      </c>
      <c r="E223" s="96">
        <v>1.6018444605467381E-2</v>
      </c>
      <c r="F223" s="96">
        <v>1.6018444605467381E-2</v>
      </c>
      <c r="G223" s="96">
        <v>0</v>
      </c>
      <c r="H223" s="96">
        <v>1.6018444605467381E-2</v>
      </c>
      <c r="I223" s="96">
        <v>9.3025266458600972E-2</v>
      </c>
      <c r="J223" s="96">
        <v>1.6018444605467381E-2</v>
      </c>
      <c r="K223" s="96">
        <v>1.6018444605467381E-2</v>
      </c>
      <c r="L223" s="96">
        <v>1.6018444605467381E-2</v>
      </c>
      <c r="M223" s="96">
        <v>9.3025266458600972E-2</v>
      </c>
      <c r="N223" s="96">
        <v>9.3025266458600972E-2</v>
      </c>
      <c r="O223" s="96">
        <v>9.3025266458600972E-2</v>
      </c>
      <c r="P223" s="96">
        <v>9.3025266458600972E-2</v>
      </c>
      <c r="Q223" s="96">
        <v>9.3025266458600972E-2</v>
      </c>
      <c r="R223" s="96">
        <v>9.3025266458600972E-2</v>
      </c>
      <c r="S223" s="96">
        <v>9.3025266458600972E-2</v>
      </c>
      <c r="T223" s="96">
        <v>9.3025266458600972E-2</v>
      </c>
      <c r="U223" s="96">
        <v>9.3025266458600972E-2</v>
      </c>
      <c r="V223" s="96">
        <v>9.3025266458600958E-2</v>
      </c>
      <c r="W223" s="96">
        <v>1.6018444605467381E-2</v>
      </c>
      <c r="X223" s="96">
        <v>1.6018444605467381E-2</v>
      </c>
      <c r="Y223" s="96">
        <v>9.3025266458600972E-2</v>
      </c>
      <c r="Z223" s="99">
        <v>9.3025266458600972E-2</v>
      </c>
    </row>
    <row r="224" spans="1:83" x14ac:dyDescent="0.3">
      <c r="A224" s="1" t="s">
        <v>137</v>
      </c>
      <c r="B224" s="141">
        <v>0</v>
      </c>
      <c r="C224" s="49">
        <v>0</v>
      </c>
      <c r="D224" s="49">
        <v>0</v>
      </c>
      <c r="E224" s="49">
        <v>0</v>
      </c>
      <c r="F224" s="49">
        <v>166000</v>
      </c>
      <c r="G224" s="49">
        <v>0</v>
      </c>
      <c r="H224" s="49">
        <v>0</v>
      </c>
      <c r="I224" s="49">
        <v>0</v>
      </c>
      <c r="J224" s="49">
        <v>0</v>
      </c>
      <c r="K224" s="49">
        <v>0</v>
      </c>
      <c r="L224" s="49">
        <v>0</v>
      </c>
      <c r="M224" s="49">
        <v>0</v>
      </c>
      <c r="N224" s="49">
        <v>0</v>
      </c>
      <c r="O224" s="49">
        <v>0</v>
      </c>
      <c r="P224" s="49">
        <v>0</v>
      </c>
      <c r="Q224" s="49">
        <v>0</v>
      </c>
      <c r="R224" s="49">
        <v>0</v>
      </c>
      <c r="S224" s="49">
        <v>0</v>
      </c>
      <c r="T224" s="49">
        <v>0</v>
      </c>
      <c r="U224" s="49">
        <v>0</v>
      </c>
      <c r="V224" s="49">
        <v>0</v>
      </c>
      <c r="W224" s="49">
        <v>0</v>
      </c>
      <c r="X224" s="49">
        <v>0</v>
      </c>
      <c r="Y224" s="49">
        <v>0</v>
      </c>
      <c r="Z224" s="122">
        <v>0</v>
      </c>
    </row>
    <row r="225" spans="1:26" ht="15" thickBot="1" x14ac:dyDescent="0.35">
      <c r="A225" s="1" t="s">
        <v>50</v>
      </c>
      <c r="B225" s="142">
        <v>0.27</v>
      </c>
      <c r="C225" s="124">
        <v>0</v>
      </c>
      <c r="D225" s="124">
        <v>0</v>
      </c>
      <c r="E225" s="124">
        <v>0</v>
      </c>
      <c r="F225" s="124">
        <v>0</v>
      </c>
      <c r="G225" s="124">
        <v>0</v>
      </c>
      <c r="H225" s="124">
        <v>0</v>
      </c>
      <c r="I225" s="124">
        <v>0</v>
      </c>
      <c r="J225" s="124">
        <v>0</v>
      </c>
      <c r="K225" s="124">
        <v>0</v>
      </c>
      <c r="L225" s="124">
        <v>0</v>
      </c>
      <c r="M225" s="124">
        <v>0</v>
      </c>
      <c r="N225" s="124">
        <v>0</v>
      </c>
      <c r="O225" s="124">
        <v>0</v>
      </c>
      <c r="P225" s="124">
        <v>0</v>
      </c>
      <c r="Q225" s="124">
        <v>0</v>
      </c>
      <c r="R225" s="124">
        <v>0</v>
      </c>
      <c r="S225" s="124">
        <v>0</v>
      </c>
      <c r="T225" s="124">
        <v>0</v>
      </c>
      <c r="U225" s="124">
        <v>0</v>
      </c>
      <c r="V225" s="124">
        <v>0</v>
      </c>
      <c r="W225" s="124">
        <v>0</v>
      </c>
      <c r="X225" s="124">
        <v>0</v>
      </c>
      <c r="Y225" s="124">
        <v>0</v>
      </c>
      <c r="Z225" s="125">
        <v>0</v>
      </c>
    </row>
    <row r="229" spans="1:26" ht="31.2" x14ac:dyDescent="0.6">
      <c r="A229" s="16" t="s">
        <v>146</v>
      </c>
    </row>
    <row r="231" spans="1:26" ht="15" thickBot="1" x14ac:dyDescent="0.35">
      <c r="A231" s="1" t="s">
        <v>231</v>
      </c>
    </row>
    <row r="232" spans="1:26" ht="15" thickBot="1" x14ac:dyDescent="0.35">
      <c r="B232" s="55" t="s">
        <v>177</v>
      </c>
      <c r="C232" s="55" t="s">
        <v>178</v>
      </c>
      <c r="D232" s="55" t="s">
        <v>179</v>
      </c>
      <c r="E232" s="55" t="s">
        <v>180</v>
      </c>
      <c r="F232" s="55" t="s">
        <v>181</v>
      </c>
      <c r="G232" s="55" t="s">
        <v>182</v>
      </c>
      <c r="H232" s="55" t="s">
        <v>183</v>
      </c>
      <c r="I232" s="55" t="s">
        <v>184</v>
      </c>
      <c r="J232" s="55" t="s">
        <v>185</v>
      </c>
      <c r="K232" s="55" t="s">
        <v>186</v>
      </c>
      <c r="L232" s="55" t="s">
        <v>187</v>
      </c>
      <c r="M232" s="55" t="s">
        <v>188</v>
      </c>
      <c r="N232" s="55" t="s">
        <v>189</v>
      </c>
      <c r="O232" s="55" t="s">
        <v>190</v>
      </c>
      <c r="P232" s="55" t="s">
        <v>191</v>
      </c>
      <c r="Q232" s="55" t="s">
        <v>192</v>
      </c>
      <c r="R232" s="55" t="s">
        <v>193</v>
      </c>
      <c r="S232" s="55" t="s">
        <v>194</v>
      </c>
      <c r="T232" s="55" t="s">
        <v>195</v>
      </c>
      <c r="U232" s="81" t="s">
        <v>196</v>
      </c>
    </row>
    <row r="233" spans="1:26" x14ac:dyDescent="0.3">
      <c r="A233" s="61" t="s">
        <v>26</v>
      </c>
      <c r="B233" s="5">
        <v>65391212</v>
      </c>
      <c r="C233" s="6">
        <v>67874162</v>
      </c>
      <c r="D233" s="6">
        <v>69245584</v>
      </c>
      <c r="E233" s="6">
        <v>68320615</v>
      </c>
      <c r="F233" s="6">
        <v>73410670</v>
      </c>
      <c r="G233" s="6">
        <v>81253485</v>
      </c>
      <c r="H233" s="6">
        <v>84507129</v>
      </c>
      <c r="I233" s="6">
        <v>85282198</v>
      </c>
      <c r="J233" s="6">
        <v>84735463</v>
      </c>
      <c r="K233" s="6">
        <v>85667375</v>
      </c>
      <c r="L233" s="6">
        <v>84389340</v>
      </c>
      <c r="M233" s="6">
        <v>82540512</v>
      </c>
      <c r="N233" s="6">
        <v>75958439</v>
      </c>
      <c r="O233" s="6">
        <v>67118231</v>
      </c>
      <c r="P233" s="6">
        <v>58205699</v>
      </c>
      <c r="Q233" s="6">
        <v>42344781</v>
      </c>
      <c r="R233" s="6">
        <v>31435714</v>
      </c>
      <c r="S233" s="6">
        <v>19501500</v>
      </c>
      <c r="T233" s="6">
        <v>9195586</v>
      </c>
      <c r="U233" s="45">
        <v>2879337</v>
      </c>
    </row>
    <row r="234" spans="1:26" x14ac:dyDescent="0.3">
      <c r="A234" s="62" t="s">
        <v>28</v>
      </c>
      <c r="B234" s="7">
        <v>194144599.58288831</v>
      </c>
      <c r="C234" s="8">
        <v>197785701.49266222</v>
      </c>
      <c r="D234" s="8">
        <v>190770042.72547466</v>
      </c>
      <c r="E234" s="8">
        <v>187420711.17267892</v>
      </c>
      <c r="F234" s="8">
        <v>191735495.26086396</v>
      </c>
      <c r="G234" s="8">
        <v>203972640.59213462</v>
      </c>
      <c r="H234" s="8">
        <v>235575421.70007718</v>
      </c>
      <c r="I234" s="8">
        <v>204766758.76252759</v>
      </c>
      <c r="J234" s="8">
        <v>190795981.38395</v>
      </c>
      <c r="K234" s="8">
        <v>204279680.94042158</v>
      </c>
      <c r="L234" s="8">
        <v>198440154.75761744</v>
      </c>
      <c r="M234" s="8">
        <v>167341191.31720731</v>
      </c>
      <c r="N234" s="8">
        <v>135103624.03345469</v>
      </c>
      <c r="O234" s="8">
        <v>118439160.16655917</v>
      </c>
      <c r="P234" s="8">
        <v>75253930.52977404</v>
      </c>
      <c r="Q234" s="8">
        <v>46605478.534624629</v>
      </c>
      <c r="R234" s="8">
        <v>30463729.500821341</v>
      </c>
      <c r="S234" s="8">
        <v>14247147.346229933</v>
      </c>
      <c r="T234" s="8">
        <v>4929718.1247228757</v>
      </c>
      <c r="U234" s="10">
        <v>1182918.0753097492</v>
      </c>
    </row>
    <row r="235" spans="1:26" ht="15" thickBot="1" x14ac:dyDescent="0.35">
      <c r="A235" s="63" t="s">
        <v>27</v>
      </c>
      <c r="B235" s="44">
        <v>333426237.23093212</v>
      </c>
      <c r="C235" s="38">
        <v>317336613.3397944</v>
      </c>
      <c r="D235" s="38">
        <v>303323022.78246886</v>
      </c>
      <c r="E235" s="38">
        <v>283273495.75581455</v>
      </c>
      <c r="F235" s="38">
        <v>263431657.1280767</v>
      </c>
      <c r="G235" s="38">
        <v>244483813.36067238</v>
      </c>
      <c r="H235" s="38">
        <v>223850551.34201437</v>
      </c>
      <c r="I235" s="38">
        <v>199977008.89957368</v>
      </c>
      <c r="J235" s="38">
        <v>170771808.37334913</v>
      </c>
      <c r="K235" s="38">
        <v>146842970.89324901</v>
      </c>
      <c r="L235" s="38">
        <v>125511554.23168966</v>
      </c>
      <c r="M235" s="38">
        <v>106291387.71024327</v>
      </c>
      <c r="N235" s="38">
        <v>85560920.01951094</v>
      </c>
      <c r="O235" s="38">
        <v>64202542.625398502</v>
      </c>
      <c r="P235" s="38">
        <v>42243761.135302529</v>
      </c>
      <c r="Q235" s="38">
        <v>26676368.065031651</v>
      </c>
      <c r="R235" s="38">
        <v>15211531.243773025</v>
      </c>
      <c r="S235" s="38">
        <v>6355974.8079839349</v>
      </c>
      <c r="T235" s="38">
        <v>1901503.4154817986</v>
      </c>
      <c r="U235" s="39">
        <v>481563.63963943825</v>
      </c>
    </row>
    <row r="237" spans="1:26" ht="15" thickBot="1" x14ac:dyDescent="0.35">
      <c r="A237" s="1" t="s">
        <v>232</v>
      </c>
    </row>
    <row r="238" spans="1:26" ht="15" thickBot="1" x14ac:dyDescent="0.35">
      <c r="B238" s="55" t="s">
        <v>177</v>
      </c>
      <c r="C238" s="55" t="s">
        <v>178</v>
      </c>
      <c r="D238" s="55" t="s">
        <v>179</v>
      </c>
      <c r="E238" s="55" t="s">
        <v>180</v>
      </c>
      <c r="F238" s="55" t="s">
        <v>181</v>
      </c>
      <c r="G238" s="55" t="s">
        <v>182</v>
      </c>
      <c r="H238" s="55" t="s">
        <v>183</v>
      </c>
      <c r="I238" s="55" t="s">
        <v>184</v>
      </c>
      <c r="J238" s="55" t="s">
        <v>185</v>
      </c>
      <c r="K238" s="55" t="s">
        <v>186</v>
      </c>
      <c r="L238" s="55" t="s">
        <v>187</v>
      </c>
      <c r="M238" s="55" t="s">
        <v>188</v>
      </c>
      <c r="N238" s="55" t="s">
        <v>189</v>
      </c>
      <c r="O238" s="55" t="s">
        <v>190</v>
      </c>
      <c r="P238" s="55" t="s">
        <v>191</v>
      </c>
      <c r="Q238" s="55" t="s">
        <v>192</v>
      </c>
      <c r="R238" s="55" t="s">
        <v>193</v>
      </c>
      <c r="S238" s="55" t="s">
        <v>194</v>
      </c>
      <c r="T238" s="55" t="s">
        <v>195</v>
      </c>
      <c r="U238" s="81" t="s">
        <v>196</v>
      </c>
    </row>
    <row r="239" spans="1:26" x14ac:dyDescent="0.3">
      <c r="A239" s="61" t="s">
        <v>26</v>
      </c>
      <c r="B239" s="5">
        <v>0</v>
      </c>
      <c r="C239" s="6">
        <v>0</v>
      </c>
      <c r="D239" s="6">
        <v>0</v>
      </c>
      <c r="E239" s="6">
        <v>0</v>
      </c>
      <c r="F239" s="6">
        <v>0</v>
      </c>
      <c r="G239" s="6">
        <v>0</v>
      </c>
      <c r="H239" s="6">
        <v>0</v>
      </c>
      <c r="I239" s="6">
        <v>0</v>
      </c>
      <c r="J239" s="6">
        <v>0</v>
      </c>
      <c r="K239" s="6">
        <v>0</v>
      </c>
      <c r="L239" s="6">
        <v>0</v>
      </c>
      <c r="M239" s="6">
        <v>0</v>
      </c>
      <c r="N239" s="6">
        <v>0</v>
      </c>
      <c r="O239" s="6">
        <v>0</v>
      </c>
      <c r="P239" s="6">
        <v>0</v>
      </c>
      <c r="Q239" s="6">
        <v>0</v>
      </c>
      <c r="R239" s="6">
        <v>0</v>
      </c>
      <c r="S239" s="6">
        <v>0</v>
      </c>
      <c r="T239" s="6">
        <v>0</v>
      </c>
      <c r="U239" s="45">
        <v>0</v>
      </c>
    </row>
    <row r="240" spans="1:26" x14ac:dyDescent="0.3">
      <c r="A240" s="62" t="s">
        <v>28</v>
      </c>
      <c r="B240" s="7">
        <v>8340577.417111706</v>
      </c>
      <c r="C240" s="8">
        <v>8497001.5073377993</v>
      </c>
      <c r="D240" s="8">
        <v>8195604.274525336</v>
      </c>
      <c r="E240" s="8">
        <v>8051714.8273211084</v>
      </c>
      <c r="F240" s="8">
        <v>8237080.7391360523</v>
      </c>
      <c r="G240" s="8">
        <v>8762796.4078654014</v>
      </c>
      <c r="H240" s="8">
        <v>10120472.299922831</v>
      </c>
      <c r="I240" s="8">
        <v>8796912.2374724466</v>
      </c>
      <c r="J240" s="8">
        <v>8196718.6160500264</v>
      </c>
      <c r="K240" s="8">
        <v>8775987.0595784355</v>
      </c>
      <c r="L240" s="8">
        <v>8525117.2423825469</v>
      </c>
      <c r="M240" s="8">
        <v>7189085.682792725</v>
      </c>
      <c r="N240" s="8">
        <v>5804138.9665453313</v>
      </c>
      <c r="O240" s="8">
        <v>5088222.8334408328</v>
      </c>
      <c r="P240" s="8">
        <v>3232957.4702259596</v>
      </c>
      <c r="Q240" s="8">
        <v>2002201.4653753759</v>
      </c>
      <c r="R240" s="8">
        <v>1308741.4991786613</v>
      </c>
      <c r="S240" s="8">
        <v>612066.65377006878</v>
      </c>
      <c r="T240" s="8">
        <v>211783.87527712548</v>
      </c>
      <c r="U240" s="10">
        <v>50818.924690251006</v>
      </c>
    </row>
    <row r="241" spans="1:21" ht="15" thickBot="1" x14ac:dyDescent="0.35">
      <c r="A241" s="63" t="s">
        <v>27</v>
      </c>
      <c r="B241" s="44">
        <v>76568060.769067898</v>
      </c>
      <c r="C241" s="38">
        <v>72873236.660205618</v>
      </c>
      <c r="D241" s="38">
        <v>69655153.217531085</v>
      </c>
      <c r="E241" s="38">
        <v>65050976.244185455</v>
      </c>
      <c r="F241" s="38">
        <v>60494492.87192332</v>
      </c>
      <c r="G241" s="38">
        <v>56143306.639327623</v>
      </c>
      <c r="H241" s="38">
        <v>51405080.657985613</v>
      </c>
      <c r="I241" s="38">
        <v>45922756.100426346</v>
      </c>
      <c r="J241" s="38">
        <v>39216068.626650892</v>
      </c>
      <c r="K241" s="38">
        <v>33721046.106750995</v>
      </c>
      <c r="L241" s="38">
        <v>28822495.768310327</v>
      </c>
      <c r="M241" s="38">
        <v>24408773.289756723</v>
      </c>
      <c r="N241" s="38">
        <v>19648224.98048906</v>
      </c>
      <c r="O241" s="38">
        <v>14743483.374601502</v>
      </c>
      <c r="P241" s="38">
        <v>9700864.8646974713</v>
      </c>
      <c r="Q241" s="38">
        <v>6125965.9349683495</v>
      </c>
      <c r="R241" s="38">
        <v>3493178.7562269755</v>
      </c>
      <c r="S241" s="38">
        <v>1459587.1920160651</v>
      </c>
      <c r="T241" s="38">
        <v>436661.58451820136</v>
      </c>
      <c r="U241" s="39">
        <v>110586.36036056178</v>
      </c>
    </row>
    <row r="243" spans="1:21" ht="15" thickBot="1" x14ac:dyDescent="0.35">
      <c r="A243" s="1" t="s">
        <v>233</v>
      </c>
    </row>
    <row r="244" spans="1:21" ht="15" thickBot="1" x14ac:dyDescent="0.35">
      <c r="A244" s="13" t="s">
        <v>234</v>
      </c>
      <c r="B244" s="55" t="s">
        <v>177</v>
      </c>
      <c r="C244" s="55" t="s">
        <v>178</v>
      </c>
      <c r="D244" s="55" t="s">
        <v>179</v>
      </c>
      <c r="E244" s="55" t="s">
        <v>180</v>
      </c>
      <c r="F244" s="55" t="s">
        <v>181</v>
      </c>
      <c r="G244" s="55" t="s">
        <v>182</v>
      </c>
      <c r="H244" s="55" t="s">
        <v>183</v>
      </c>
      <c r="I244" s="55" t="s">
        <v>184</v>
      </c>
      <c r="J244" s="55" t="s">
        <v>185</v>
      </c>
      <c r="K244" s="55" t="s">
        <v>186</v>
      </c>
      <c r="L244" s="55" t="s">
        <v>187</v>
      </c>
      <c r="M244" s="55" t="s">
        <v>188</v>
      </c>
      <c r="N244" s="55" t="s">
        <v>189</v>
      </c>
      <c r="O244" s="55" t="s">
        <v>190</v>
      </c>
      <c r="P244" s="55" t="s">
        <v>191</v>
      </c>
      <c r="Q244" s="55" t="s">
        <v>192</v>
      </c>
      <c r="R244" s="55" t="s">
        <v>193</v>
      </c>
      <c r="S244" s="55" t="s">
        <v>194</v>
      </c>
      <c r="T244" s="55" t="s">
        <v>195</v>
      </c>
      <c r="U244" s="81" t="s">
        <v>196</v>
      </c>
    </row>
    <row r="245" spans="1:21" ht="15" thickBot="1" x14ac:dyDescent="0.35">
      <c r="A245" s="64" t="s">
        <v>235</v>
      </c>
      <c r="B245" s="55">
        <v>2</v>
      </c>
      <c r="C245" s="56">
        <f>B245+5</f>
        <v>7</v>
      </c>
      <c r="D245" s="56">
        <f>C245+5</f>
        <v>12</v>
      </c>
      <c r="E245" s="56">
        <f t="shared" ref="E245:U245" si="50">D245+5</f>
        <v>17</v>
      </c>
      <c r="F245" s="56">
        <f t="shared" si="50"/>
        <v>22</v>
      </c>
      <c r="G245" s="56">
        <f t="shared" si="50"/>
        <v>27</v>
      </c>
      <c r="H245" s="56">
        <f t="shared" si="50"/>
        <v>32</v>
      </c>
      <c r="I245" s="56">
        <f t="shared" si="50"/>
        <v>37</v>
      </c>
      <c r="J245" s="56">
        <f t="shared" si="50"/>
        <v>42</v>
      </c>
      <c r="K245" s="56">
        <f t="shared" si="50"/>
        <v>47</v>
      </c>
      <c r="L245" s="56">
        <f t="shared" si="50"/>
        <v>52</v>
      </c>
      <c r="M245" s="56">
        <f t="shared" si="50"/>
        <v>57</v>
      </c>
      <c r="N245" s="56">
        <f t="shared" si="50"/>
        <v>62</v>
      </c>
      <c r="O245" s="56">
        <f t="shared" si="50"/>
        <v>67</v>
      </c>
      <c r="P245" s="56">
        <f t="shared" si="50"/>
        <v>72</v>
      </c>
      <c r="Q245" s="56">
        <f t="shared" si="50"/>
        <v>77</v>
      </c>
      <c r="R245" s="56">
        <f t="shared" si="50"/>
        <v>82</v>
      </c>
      <c r="S245" s="56">
        <f t="shared" si="50"/>
        <v>87</v>
      </c>
      <c r="T245" s="56">
        <f t="shared" si="50"/>
        <v>92</v>
      </c>
      <c r="U245" s="57">
        <f t="shared" si="50"/>
        <v>97</v>
      </c>
    </row>
    <row r="247" spans="1:21" ht="15" thickBot="1" x14ac:dyDescent="0.35">
      <c r="A247" s="1" t="s">
        <v>236</v>
      </c>
    </row>
    <row r="248" spans="1:21" ht="29.4" thickBot="1" x14ac:dyDescent="0.35">
      <c r="B248" s="55" t="s">
        <v>197</v>
      </c>
      <c r="C248" s="55" t="s">
        <v>198</v>
      </c>
      <c r="D248" s="55" t="s">
        <v>199</v>
      </c>
      <c r="E248" s="55" t="s">
        <v>200</v>
      </c>
      <c r="F248" s="55" t="s">
        <v>201</v>
      </c>
      <c r="G248" s="55" t="s">
        <v>202</v>
      </c>
      <c r="H248" s="55" t="s">
        <v>203</v>
      </c>
      <c r="I248" s="55" t="s">
        <v>204</v>
      </c>
      <c r="J248" s="55" t="s">
        <v>205</v>
      </c>
      <c r="K248" s="55" t="s">
        <v>206</v>
      </c>
      <c r="L248" s="55" t="s">
        <v>207</v>
      </c>
      <c r="M248" s="55" t="s">
        <v>208</v>
      </c>
      <c r="N248" s="55" t="s">
        <v>209</v>
      </c>
      <c r="O248" s="55" t="s">
        <v>210</v>
      </c>
      <c r="P248" s="55" t="s">
        <v>211</v>
      </c>
      <c r="Q248" s="55" t="s">
        <v>212</v>
      </c>
      <c r="R248" s="55" t="s">
        <v>213</v>
      </c>
      <c r="S248" s="55" t="s">
        <v>214</v>
      </c>
      <c r="T248" s="55" t="s">
        <v>215</v>
      </c>
      <c r="U248" s="81" t="s">
        <v>216</v>
      </c>
    </row>
    <row r="249" spans="1:21" ht="14.4" customHeight="1" x14ac:dyDescent="0.3">
      <c r="A249" s="26" t="s">
        <v>217</v>
      </c>
      <c r="B249" s="5">
        <v>6.3514599784460597E-3</v>
      </c>
      <c r="C249" s="6">
        <v>7.9845908785288302E-4</v>
      </c>
      <c r="D249" s="6">
        <v>6.6855214598022096E-4</v>
      </c>
      <c r="E249" s="6">
        <v>1.7642940679976099E-3</v>
      </c>
      <c r="F249" s="6">
        <v>2.5125569354751002E-3</v>
      </c>
      <c r="G249" s="6">
        <v>2.5787419175338599E-3</v>
      </c>
      <c r="H249" s="6">
        <v>2.9771461382389099E-3</v>
      </c>
      <c r="I249" s="6">
        <v>3.9353106539009204E-3</v>
      </c>
      <c r="J249" s="6">
        <v>6.0021335171807503E-3</v>
      </c>
      <c r="K249" s="6">
        <v>9.7280770346565206E-3</v>
      </c>
      <c r="L249" s="6">
        <v>1.5831788462007401E-2</v>
      </c>
      <c r="M249" s="6">
        <v>2.5065722012039202E-2</v>
      </c>
      <c r="N249" s="6">
        <v>4.0266892369726803E-2</v>
      </c>
      <c r="O249" s="6">
        <v>6.4790836890912695E-2</v>
      </c>
      <c r="P249" s="6">
        <v>0.105963071091317</v>
      </c>
      <c r="Q249" s="6">
        <v>0.180585947426192</v>
      </c>
      <c r="R249" s="6">
        <v>0.32247341691653197</v>
      </c>
      <c r="S249" s="6">
        <v>0.574518286751876</v>
      </c>
      <c r="T249" s="6">
        <v>0.98879826330115494</v>
      </c>
      <c r="U249" s="45">
        <v>0.98879826330115494</v>
      </c>
    </row>
    <row r="250" spans="1:21" x14ac:dyDescent="0.3">
      <c r="A250" s="27" t="s">
        <v>218</v>
      </c>
      <c r="B250" s="7">
        <v>0.11991922080235</v>
      </c>
      <c r="C250" s="8">
        <v>1.5842338786943098E-2</v>
      </c>
      <c r="D250" s="8">
        <v>7.6186416515798099E-3</v>
      </c>
      <c r="E250" s="8">
        <v>1.04660411081861E-2</v>
      </c>
      <c r="F250" s="8">
        <v>1.37463521242572E-2</v>
      </c>
      <c r="G250" s="8">
        <v>1.6257534071909299E-2</v>
      </c>
      <c r="H250" s="8">
        <v>1.97290523022088E-2</v>
      </c>
      <c r="I250" s="8">
        <v>2.5279746352982999E-2</v>
      </c>
      <c r="J250" s="8">
        <v>3.1944861986196303E-2</v>
      </c>
      <c r="K250" s="8">
        <v>4.2144550518166797E-2</v>
      </c>
      <c r="L250" s="8">
        <v>5.8589615447566697E-2</v>
      </c>
      <c r="M250" s="8">
        <v>8.2122855465154201E-2</v>
      </c>
      <c r="N250" s="8">
        <v>0.12376889754716799</v>
      </c>
      <c r="O250" s="8">
        <v>0.18947358623242</v>
      </c>
      <c r="P250" s="8">
        <v>0.30169597625658401</v>
      </c>
      <c r="Q250" s="8">
        <v>0.46810486871753798</v>
      </c>
      <c r="R250" s="8">
        <v>0.72693395465321697</v>
      </c>
      <c r="S250" s="8">
        <v>1.1010097917472601</v>
      </c>
      <c r="T250" s="8">
        <v>1.5675986026715401</v>
      </c>
      <c r="U250" s="10">
        <v>1.5675986026715401</v>
      </c>
    </row>
    <row r="251" spans="1:21" x14ac:dyDescent="0.3">
      <c r="A251" s="27" t="s">
        <v>219</v>
      </c>
      <c r="B251" s="7">
        <v>-7.3040130615246497</v>
      </c>
      <c r="C251" s="8">
        <v>-7.1473532211606896</v>
      </c>
      <c r="D251" s="8">
        <v>-7.7175207831165604</v>
      </c>
      <c r="E251" s="8">
        <v>-7.9332857365814</v>
      </c>
      <c r="F251" s="8">
        <v>-8.1724638019239606</v>
      </c>
      <c r="G251" s="8">
        <v>-8.3712036222800208</v>
      </c>
      <c r="H251" s="8">
        <v>-8.5124354278060004</v>
      </c>
      <c r="I251" s="8">
        <v>-8.6185565254682999</v>
      </c>
      <c r="J251" s="8">
        <v>-8.7299908530974406</v>
      </c>
      <c r="K251" s="8">
        <v>-8.8327534197578803</v>
      </c>
      <c r="L251" s="8">
        <v>-8.8743266593519792</v>
      </c>
      <c r="M251" s="8">
        <v>-8.8752010406722999</v>
      </c>
      <c r="N251" s="8">
        <v>-8.7795108853426296</v>
      </c>
      <c r="O251" s="8">
        <v>-8.6505130321910002</v>
      </c>
      <c r="P251" s="8">
        <v>-8.5669916964274098</v>
      </c>
      <c r="Q251" s="8">
        <v>-8.5781322457144196</v>
      </c>
      <c r="R251" s="8">
        <v>-8.60008183607634</v>
      </c>
      <c r="S251" s="8">
        <v>-8.6016045909510197</v>
      </c>
      <c r="T251" s="8">
        <v>-8.5704716766157691</v>
      </c>
      <c r="U251" s="10">
        <v>-8.5704716766157691</v>
      </c>
    </row>
    <row r="252" spans="1:21" x14ac:dyDescent="0.3">
      <c r="A252" s="27" t="s">
        <v>220</v>
      </c>
      <c r="B252" s="7">
        <f>5-364.5*B253</f>
        <v>9.9241083914668931</v>
      </c>
      <c r="C252" s="8">
        <f>5-364.5*C253</f>
        <v>9.9907251145412275</v>
      </c>
      <c r="D252" s="8">
        <f t="shared" ref="D252:U252" si="51">5-364.5*D253</f>
        <v>9.9943066914883829</v>
      </c>
      <c r="E252" s="8">
        <f t="shared" si="51"/>
        <v>9.9915357568856216</v>
      </c>
      <c r="F252" s="8">
        <f t="shared" si="51"/>
        <v>9.9883432937661922</v>
      </c>
      <c r="G252" s="8">
        <f t="shared" si="51"/>
        <v>9.9858661316048121</v>
      </c>
      <c r="H252" s="8">
        <f t="shared" si="51"/>
        <v>9.982553733680291</v>
      </c>
      <c r="I252" s="8">
        <f t="shared" si="51"/>
        <v>9.9773549250791511</v>
      </c>
      <c r="J252" s="8">
        <f t="shared" si="51"/>
        <v>9.970939276499438</v>
      </c>
      <c r="K252" s="8">
        <f t="shared" si="51"/>
        <v>9.9611257641852653</v>
      </c>
      <c r="L252" s="8">
        <f t="shared" si="51"/>
        <v>9.9455571395947331</v>
      </c>
      <c r="M252" s="8">
        <f t="shared" si="51"/>
        <v>9.923406086009269</v>
      </c>
      <c r="N252" s="8">
        <f t="shared" si="51"/>
        <v>9.8850904919951148</v>
      </c>
      <c r="O252" s="8">
        <f t="shared" si="51"/>
        <v>9.8254629509552238</v>
      </c>
      <c r="P252" s="8">
        <f t="shared" si="51"/>
        <v>9.7236564875251332</v>
      </c>
      <c r="Q252" s="8">
        <f t="shared" si="51"/>
        <v>9.5687513281222891</v>
      </c>
      <c r="R252" s="8">
        <f t="shared" si="51"/>
        <v>9.3238609025814441</v>
      </c>
      <c r="S252" s="8">
        <f t="shared" si="51"/>
        <v>8.965016509490491</v>
      </c>
      <c r="T252" s="8">
        <f t="shared" si="51"/>
        <v>8.5071281205208784</v>
      </c>
      <c r="U252" s="10">
        <f t="shared" si="51"/>
        <v>8.2500000298023224</v>
      </c>
    </row>
    <row r="253" spans="1:21" ht="15" thickBot="1" x14ac:dyDescent="0.35">
      <c r="A253" s="47" t="s">
        <v>221</v>
      </c>
      <c r="B253" s="44">
        <v>-1.350921369401068E-2</v>
      </c>
      <c r="C253" s="38">
        <v>-1.3691975622884029E-2</v>
      </c>
      <c r="D253" s="38">
        <v>-1.3701801622739051E-2</v>
      </c>
      <c r="E253" s="38">
        <v>-1.369419960736796E-2</v>
      </c>
      <c r="F253" s="38">
        <v>-1.3685441135161021E-2</v>
      </c>
      <c r="G253" s="38">
        <v>-1.3678645079848589E-2</v>
      </c>
      <c r="H253" s="38">
        <v>-1.366955756839586E-2</v>
      </c>
      <c r="I253" s="38">
        <v>-1.365529471901002E-2</v>
      </c>
      <c r="J253" s="38">
        <v>-1.363769348833865E-2</v>
      </c>
      <c r="K253" s="38">
        <v>-1.361077027211321E-2</v>
      </c>
      <c r="L253" s="38">
        <v>-1.356805799614467E-2</v>
      </c>
      <c r="M253" s="38">
        <v>-1.350728693006658E-2</v>
      </c>
      <c r="N253" s="38">
        <v>-1.340216870231856E-2</v>
      </c>
      <c r="O253" s="38">
        <v>-1.3238581484102121E-2</v>
      </c>
      <c r="P253" s="38">
        <v>-1.2959277057682119E-2</v>
      </c>
      <c r="Q253" s="38">
        <v>-1.2534297196494621E-2</v>
      </c>
      <c r="R253" s="38">
        <v>-1.1862444177178169E-2</v>
      </c>
      <c r="S253" s="38">
        <v>-1.0877960245515751E-2</v>
      </c>
      <c r="T253" s="38">
        <v>-9.6217506735826585E-3</v>
      </c>
      <c r="U253" s="39">
        <v>-8.916323812900747E-3</v>
      </c>
    </row>
    <row r="255" spans="1:21" ht="15" thickBot="1" x14ac:dyDescent="0.35">
      <c r="A255" s="1" t="s">
        <v>222</v>
      </c>
    </row>
    <row r="256" spans="1:21" ht="15" thickBot="1" x14ac:dyDescent="0.35">
      <c r="B256" s="55" t="s">
        <v>223</v>
      </c>
      <c r="C256" s="55" t="s">
        <v>224</v>
      </c>
      <c r="D256" s="55" t="s">
        <v>225</v>
      </c>
      <c r="E256" s="81" t="s">
        <v>226</v>
      </c>
    </row>
    <row r="257" spans="1:7" x14ac:dyDescent="0.3">
      <c r="A257" s="26" t="s">
        <v>217</v>
      </c>
      <c r="B257" s="5">
        <v>2.1350320041358801E-2</v>
      </c>
      <c r="C257" s="6">
        <v>0.11704262374808801</v>
      </c>
      <c r="D257" s="6">
        <v>0.25224658112981901</v>
      </c>
      <c r="E257" s="45">
        <v>2.31574953527998E-2</v>
      </c>
    </row>
    <row r="258" spans="1:7" x14ac:dyDescent="0.3">
      <c r="A258" s="27" t="s">
        <v>218</v>
      </c>
      <c r="B258" s="7">
        <v>0.166226971682087</v>
      </c>
      <c r="C258" s="8">
        <v>0.50364311810810503</v>
      </c>
      <c r="D258" s="8">
        <v>0.64235840776669495</v>
      </c>
      <c r="E258" s="10">
        <v>0.15263564345630001</v>
      </c>
    </row>
    <row r="259" spans="1:7" ht="15" thickBot="1" x14ac:dyDescent="0.35">
      <c r="A259" s="47" t="s">
        <v>219</v>
      </c>
      <c r="B259" s="44">
        <v>-8.6230672223863003</v>
      </c>
      <c r="C259" s="38">
        <v>-8.1503226371488999</v>
      </c>
      <c r="D259" s="38"/>
      <c r="E259" s="39"/>
    </row>
    <row r="260" spans="1:7" ht="15" thickBot="1" x14ac:dyDescent="0.35"/>
    <row r="261" spans="1:7" ht="15" thickBot="1" x14ac:dyDescent="0.35">
      <c r="B261" s="55" t="s">
        <v>225</v>
      </c>
      <c r="C261" s="81" t="s">
        <v>226</v>
      </c>
    </row>
    <row r="262" spans="1:7" x14ac:dyDescent="0.3">
      <c r="A262" s="26" t="s">
        <v>218</v>
      </c>
      <c r="B262" s="5">
        <v>0.64235840776669495</v>
      </c>
      <c r="C262" s="45">
        <v>0.15263564345630001</v>
      </c>
    </row>
    <row r="263" spans="1:7" x14ac:dyDescent="0.3">
      <c r="A263" s="27" t="s">
        <v>217</v>
      </c>
      <c r="B263" s="7">
        <v>0.25224658112981901</v>
      </c>
      <c r="C263" s="10">
        <v>2.31574953527998E-2</v>
      </c>
    </row>
    <row r="264" spans="1:7" ht="15" thickBot="1" x14ac:dyDescent="0.35">
      <c r="A264" s="47" t="s">
        <v>47</v>
      </c>
      <c r="B264" s="44">
        <v>1.1922820679329399E-3</v>
      </c>
      <c r="C264" s="39">
        <v>1.2106203973751999E-3</v>
      </c>
    </row>
    <row r="265" spans="1:7" ht="15" thickBot="1" x14ac:dyDescent="0.35"/>
    <row r="266" spans="1:7" ht="15" thickBot="1" x14ac:dyDescent="0.35">
      <c r="B266" s="55" t="s">
        <v>227</v>
      </c>
      <c r="C266" s="81" t="s">
        <v>228</v>
      </c>
    </row>
    <row r="267" spans="1:7" ht="25.35" customHeight="1" x14ac:dyDescent="0.3">
      <c r="A267" s="26" t="s">
        <v>229</v>
      </c>
      <c r="B267" s="5">
        <v>0.120731764788215</v>
      </c>
      <c r="C267" s="45">
        <v>0.10261781654242</v>
      </c>
    </row>
    <row r="268" spans="1:7" ht="25.35" customHeight="1" thickBot="1" x14ac:dyDescent="0.35">
      <c r="A268" s="47" t="s">
        <v>230</v>
      </c>
      <c r="B268" s="7">
        <v>1.2525848094948401E-2</v>
      </c>
      <c r="C268" s="10">
        <v>9.4355912917436399E-7</v>
      </c>
    </row>
    <row r="269" spans="1:7" ht="15" thickBot="1" x14ac:dyDescent="0.35"/>
    <row r="270" spans="1:7" ht="15" thickBot="1" x14ac:dyDescent="0.35">
      <c r="B270" s="55" t="s">
        <v>200</v>
      </c>
      <c r="C270" s="81" t="s">
        <v>201</v>
      </c>
      <c r="D270" s="55" t="s">
        <v>202</v>
      </c>
      <c r="E270" s="81" t="s">
        <v>203</v>
      </c>
      <c r="F270" s="55" t="s">
        <v>204</v>
      </c>
      <c r="G270" s="81" t="s">
        <v>205</v>
      </c>
    </row>
    <row r="271" spans="1:7" ht="25.35" customHeight="1" x14ac:dyDescent="0.3">
      <c r="A271" s="26" t="s">
        <v>220</v>
      </c>
      <c r="B271" s="5">
        <f>-364.5*B272</f>
        <v>-0.14841929966294384</v>
      </c>
      <c r="C271" s="6">
        <f t="shared" ref="C271:G271" si="52">-364.5*C272</f>
        <v>-0.43028325625777886</v>
      </c>
      <c r="D271" s="6">
        <f t="shared" si="52"/>
        <v>-0.41581965792291548</v>
      </c>
      <c r="E271" s="6">
        <f t="shared" si="52"/>
        <v>-0.20331524213574609</v>
      </c>
      <c r="F271" s="6">
        <f t="shared" si="52"/>
        <v>-0.10330567268696254</v>
      </c>
      <c r="G271" s="45">
        <f t="shared" si="52"/>
        <v>-7.6726459755671758E-2</v>
      </c>
    </row>
    <row r="272" spans="1:7" ht="25.35" customHeight="1" thickBot="1" x14ac:dyDescent="0.35">
      <c r="A272" s="47" t="s">
        <v>221</v>
      </c>
      <c r="B272" s="44">
        <v>4.0718600730574442E-4</v>
      </c>
      <c r="C272" s="38">
        <v>1.1804753258100929E-3</v>
      </c>
      <c r="D272" s="38">
        <v>1.140794671942155E-3</v>
      </c>
      <c r="E272" s="38">
        <v>5.5779215949450234E-4</v>
      </c>
      <c r="F272" s="38">
        <v>2.8341748336615239E-4</v>
      </c>
      <c r="G272" s="39">
        <v>2.1049783197715159E-4</v>
      </c>
    </row>
    <row r="274" spans="1:25" ht="15" thickBot="1" x14ac:dyDescent="0.35">
      <c r="A274" s="1" t="s">
        <v>41</v>
      </c>
    </row>
    <row r="275" spans="1:25" ht="28.35" customHeight="1" x14ac:dyDescent="0.3">
      <c r="A275" s="29" t="s">
        <v>42</v>
      </c>
      <c r="B275" s="66">
        <v>1.1431184270690443E-4</v>
      </c>
      <c r="C275" s="17"/>
    </row>
    <row r="276" spans="1:25" ht="28.35" customHeight="1" x14ac:dyDescent="0.3">
      <c r="A276" s="30" t="s">
        <v>43</v>
      </c>
      <c r="B276" s="58">
        <v>5.4999999999999982</v>
      </c>
    </row>
    <row r="277" spans="1:25" ht="28.35" customHeight="1" thickBot="1" x14ac:dyDescent="0.35">
      <c r="A277" s="46" t="s">
        <v>44</v>
      </c>
      <c r="B277" s="59">
        <v>3.4293552812071316E-3</v>
      </c>
      <c r="C277" s="17"/>
    </row>
    <row r="279" spans="1:25" ht="15" thickBot="1" x14ac:dyDescent="0.35">
      <c r="A279" s="1" t="s">
        <v>164</v>
      </c>
    </row>
    <row r="280" spans="1:25" x14ac:dyDescent="0.3">
      <c r="A280" s="157" t="s">
        <v>88</v>
      </c>
      <c r="B280" s="66">
        <v>1</v>
      </c>
      <c r="C280" s="118"/>
    </row>
    <row r="281" spans="1:25" ht="15" thickBot="1" x14ac:dyDescent="0.35">
      <c r="A281" s="157" t="s">
        <v>89</v>
      </c>
      <c r="B281" s="156">
        <v>0.7</v>
      </c>
      <c r="C281" s="118"/>
    </row>
    <row r="285" spans="1:25" ht="31.2" x14ac:dyDescent="0.6">
      <c r="A285" s="16" t="s">
        <v>237</v>
      </c>
    </row>
    <row r="286" spans="1:25" ht="15" thickBot="1" x14ac:dyDescent="0.35">
      <c r="A286" s="1" t="s">
        <v>239</v>
      </c>
    </row>
    <row r="287" spans="1:25" ht="15" thickBot="1" x14ac:dyDescent="0.35">
      <c r="A287" s="158">
        <v>1</v>
      </c>
      <c r="B287" s="159">
        <v>2</v>
      </c>
      <c r="C287" s="159">
        <v>3</v>
      </c>
      <c r="D287" s="159">
        <v>4</v>
      </c>
      <c r="E287" s="159">
        <v>5</v>
      </c>
      <c r="F287" s="159">
        <v>6</v>
      </c>
      <c r="G287" s="159">
        <v>7</v>
      </c>
      <c r="H287" s="159">
        <v>8</v>
      </c>
      <c r="I287" s="159">
        <v>9</v>
      </c>
      <c r="J287" s="159">
        <v>10</v>
      </c>
      <c r="K287" s="159">
        <v>11</v>
      </c>
      <c r="L287" s="159">
        <v>12</v>
      </c>
      <c r="M287" s="159">
        <v>13</v>
      </c>
      <c r="N287" s="159">
        <v>14</v>
      </c>
      <c r="O287" s="159">
        <v>15</v>
      </c>
      <c r="P287" s="159">
        <v>16</v>
      </c>
      <c r="Q287" s="159">
        <v>17</v>
      </c>
      <c r="R287" s="159">
        <v>18</v>
      </c>
      <c r="S287" s="159">
        <v>19</v>
      </c>
      <c r="T287" s="159">
        <v>20</v>
      </c>
      <c r="U287" s="159">
        <v>21</v>
      </c>
      <c r="V287" s="159">
        <v>22</v>
      </c>
      <c r="W287" s="159">
        <v>23</v>
      </c>
      <c r="X287" s="159">
        <v>24</v>
      </c>
      <c r="Y287" s="160">
        <v>25</v>
      </c>
    </row>
    <row r="288" spans="1:25" ht="15" thickBot="1" x14ac:dyDescent="0.35">
      <c r="A288" s="55">
        <v>0.23202524910481148</v>
      </c>
      <c r="B288" s="56">
        <v>5.4247848865100437E-2</v>
      </c>
      <c r="C288" s="56">
        <v>1.9138363977223051E-2</v>
      </c>
      <c r="D288" s="56">
        <v>0.26267748620997827</v>
      </c>
      <c r="E288" s="56">
        <v>4.1928307812757963E-2</v>
      </c>
      <c r="F288" s="56">
        <v>0</v>
      </c>
      <c r="G288" s="56">
        <v>3.7998727608752503E-2</v>
      </c>
      <c r="H288" s="56">
        <v>1.8282106476122429E-2</v>
      </c>
      <c r="I288" s="56">
        <v>2.3728202310751095E-2</v>
      </c>
      <c r="J288" s="56">
        <v>4.8182489316843935E-2</v>
      </c>
      <c r="K288" s="56">
        <v>3.0378040378073637E-2</v>
      </c>
      <c r="L288" s="56">
        <v>1.7250109555545779E-2</v>
      </c>
      <c r="M288" s="56">
        <v>1.3224704578169098E-2</v>
      </c>
      <c r="N288" s="56">
        <v>1.2646371637227791E-2</v>
      </c>
      <c r="O288" s="56">
        <v>4.4707379981405643E-2</v>
      </c>
      <c r="P288" s="56">
        <v>4.0247961529611687E-2</v>
      </c>
      <c r="Q288" s="56">
        <v>9.7899807320422555E-2</v>
      </c>
      <c r="R288" s="56">
        <v>3.4936466798792334</v>
      </c>
      <c r="S288" s="56">
        <v>0.20218526908002862</v>
      </c>
      <c r="T288" s="56">
        <v>3.4133758361500864E-2</v>
      </c>
      <c r="U288" s="56">
        <v>4.6449914083017567E-2</v>
      </c>
      <c r="V288" s="56">
        <v>9.8840117864335192E-2</v>
      </c>
      <c r="W288" s="56">
        <v>4.2367055240073892E-2</v>
      </c>
      <c r="X288" s="56">
        <v>7.1167521475357459E-2</v>
      </c>
      <c r="Y288" s="57">
        <v>3.2582075810553508E-2</v>
      </c>
    </row>
    <row r="290" spans="1:29" x14ac:dyDescent="0.3">
      <c r="A290" s="1" t="s">
        <v>238</v>
      </c>
    </row>
    <row r="291" spans="1:29" ht="15" thickBot="1" x14ac:dyDescent="0.35">
      <c r="A291" s="1" t="s">
        <v>88</v>
      </c>
    </row>
    <row r="292" spans="1:29" ht="15" thickBot="1" x14ac:dyDescent="0.35">
      <c r="A292" s="158">
        <v>1</v>
      </c>
      <c r="B292" s="159">
        <v>2</v>
      </c>
      <c r="C292" s="159">
        <v>3</v>
      </c>
      <c r="D292" s="159">
        <v>4</v>
      </c>
      <c r="E292" s="159">
        <v>5</v>
      </c>
      <c r="F292" s="159">
        <v>6</v>
      </c>
      <c r="G292" s="159">
        <v>7</v>
      </c>
      <c r="H292" s="159">
        <v>8</v>
      </c>
      <c r="I292" s="159">
        <v>9</v>
      </c>
      <c r="J292" s="159">
        <v>10</v>
      </c>
      <c r="K292" s="159">
        <v>11</v>
      </c>
      <c r="L292" s="159">
        <v>12</v>
      </c>
      <c r="M292" s="159">
        <v>13</v>
      </c>
      <c r="N292" s="159">
        <v>14</v>
      </c>
      <c r="O292" s="159">
        <v>15</v>
      </c>
      <c r="P292" s="159">
        <v>16</v>
      </c>
      <c r="Q292" s="159">
        <v>17</v>
      </c>
      <c r="R292" s="159">
        <v>18</v>
      </c>
      <c r="S292" s="159">
        <v>19</v>
      </c>
      <c r="T292" s="159">
        <v>20</v>
      </c>
      <c r="U292" s="159">
        <v>21</v>
      </c>
      <c r="V292" s="159">
        <v>22</v>
      </c>
      <c r="W292" s="159">
        <v>23</v>
      </c>
      <c r="X292" s="159">
        <v>24</v>
      </c>
      <c r="Y292" s="160">
        <v>25</v>
      </c>
    </row>
    <row r="293" spans="1:29" ht="15" thickBot="1" x14ac:dyDescent="0.35">
      <c r="A293" s="55">
        <v>1.045182559743032E-2</v>
      </c>
      <c r="B293" s="56">
        <v>9.1335224214527614E-3</v>
      </c>
      <c r="C293" s="56">
        <v>1.5157548292796567E-3</v>
      </c>
      <c r="D293" s="56">
        <v>7.4928451286747763E-3</v>
      </c>
      <c r="E293" s="56">
        <v>9.2267146282458534E-3</v>
      </c>
      <c r="F293" s="56">
        <v>0</v>
      </c>
      <c r="G293" s="56">
        <v>1.0034508345258259E-2</v>
      </c>
      <c r="H293" s="56">
        <v>9.8156961254675795E-4</v>
      </c>
      <c r="I293" s="56">
        <v>4.3800225399426608E-3</v>
      </c>
      <c r="J293" s="56">
        <v>4.2575052121818632E-3</v>
      </c>
      <c r="K293" s="56">
        <v>5.5830173471494672E-3</v>
      </c>
      <c r="L293" s="56">
        <v>2.8300355346313646E-3</v>
      </c>
      <c r="M293" s="56">
        <v>2.547212724556794E-3</v>
      </c>
      <c r="N293" s="56">
        <v>2.4487287204605331E-3</v>
      </c>
      <c r="O293" s="56">
        <v>3.0881993067658452E-3</v>
      </c>
      <c r="P293" s="56">
        <v>4.4926213593469199E-3</v>
      </c>
      <c r="Q293" s="56">
        <v>1.1851537783146139E-2</v>
      </c>
      <c r="R293" s="56">
        <v>4.5587834046220263E-3</v>
      </c>
      <c r="S293" s="56">
        <v>0.21887032189543368</v>
      </c>
      <c r="T293" s="56">
        <v>1.3645163624728985E-4</v>
      </c>
      <c r="U293" s="56">
        <v>7.0755311822928157E-3</v>
      </c>
      <c r="V293" s="56">
        <v>2.5483632407147024E-2</v>
      </c>
      <c r="W293" s="56">
        <v>1.7574708123112952E-2</v>
      </c>
      <c r="X293" s="56">
        <v>8.0793703271912019E-3</v>
      </c>
      <c r="Y293" s="57">
        <v>7.8246047624143597E-3</v>
      </c>
    </row>
    <row r="294" spans="1:29" ht="15" thickBot="1" x14ac:dyDescent="0.35">
      <c r="A294" s="13" t="s">
        <v>89</v>
      </c>
      <c r="B294" s="28"/>
      <c r="C294" s="28"/>
      <c r="D294" s="28"/>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row>
    <row r="295" spans="1:29" ht="15" thickBot="1" x14ac:dyDescent="0.35">
      <c r="A295" s="55">
        <v>0.25522777401529267</v>
      </c>
      <c r="B295" s="56">
        <v>5.9672633751610485E-2</v>
      </c>
      <c r="C295" s="56">
        <v>2.1052200374945356E-2</v>
      </c>
      <c r="D295" s="56">
        <v>0.28894523483097612</v>
      </c>
      <c r="E295" s="56">
        <v>4.6121138594033766E-2</v>
      </c>
      <c r="F295" s="56">
        <v>0</v>
      </c>
      <c r="G295" s="56">
        <v>4.1798600369627757E-2</v>
      </c>
      <c r="H295" s="56">
        <v>2.0110317123734674E-2</v>
      </c>
      <c r="I295" s="56">
        <v>2.6101022541826207E-2</v>
      </c>
      <c r="J295" s="56">
        <v>5.3000738248528335E-2</v>
      </c>
      <c r="K295" s="56">
        <v>3.3415844415881003E-2</v>
      </c>
      <c r="L295" s="56">
        <v>1.8975120511100358E-2</v>
      </c>
      <c r="M295" s="56">
        <v>1.4547175035986008E-2</v>
      </c>
      <c r="N295" s="56">
        <v>1.3911008800950572E-2</v>
      </c>
      <c r="O295" s="56">
        <v>4.9178117979546208E-2</v>
      </c>
      <c r="P295" s="56">
        <v>4.4272757682572862E-2</v>
      </c>
      <c r="Q295" s="56">
        <v>0.10768978805246482</v>
      </c>
      <c r="R295" s="56">
        <v>3.843011347867157</v>
      </c>
      <c r="S295" s="56">
        <v>0.22240379598803151</v>
      </c>
      <c r="T295" s="56">
        <v>3.7547134197650954E-2</v>
      </c>
      <c r="U295" s="56">
        <v>5.1094905491319328E-2</v>
      </c>
      <c r="V295" s="56">
        <v>0.10872412965076872</v>
      </c>
      <c r="W295" s="56">
        <v>4.6603760764081285E-2</v>
      </c>
      <c r="X295" s="56">
        <v>7.8284273622893211E-2</v>
      </c>
      <c r="Y295" s="57">
        <v>3.5840283391608864E-2</v>
      </c>
      <c r="Z295" s="17"/>
      <c r="AA295" s="17"/>
      <c r="AB295" s="17"/>
      <c r="AC295" s="17"/>
    </row>
    <row r="297" spans="1:29" x14ac:dyDescent="0.3">
      <c r="A297" s="1" t="s">
        <v>35</v>
      </c>
    </row>
    <row r="298" spans="1:29" ht="15" thickBot="1" x14ac:dyDescent="0.35">
      <c r="A298" t="s">
        <v>240</v>
      </c>
      <c r="B298" s="3"/>
    </row>
    <row r="299" spans="1:29" ht="29.4" thickBot="1" x14ac:dyDescent="0.35">
      <c r="A299" s="26" t="s">
        <v>36</v>
      </c>
      <c r="B299" s="75">
        <f>B300*B301*B302</f>
        <v>2080</v>
      </c>
    </row>
    <row r="300" spans="1:29" x14ac:dyDescent="0.3">
      <c r="A300" s="27" t="s">
        <v>37</v>
      </c>
      <c r="B300" s="74">
        <v>8</v>
      </c>
    </row>
    <row r="301" spans="1:29" x14ac:dyDescent="0.3">
      <c r="A301" s="27" t="s">
        <v>38</v>
      </c>
      <c r="B301" s="69">
        <v>5</v>
      </c>
    </row>
    <row r="302" spans="1:29" ht="15" thickBot="1" x14ac:dyDescent="0.35">
      <c r="A302" s="47" t="s">
        <v>39</v>
      </c>
      <c r="B302" s="70">
        <v>52</v>
      </c>
    </row>
    <row r="304" spans="1:29" ht="15" thickBot="1" x14ac:dyDescent="0.35">
      <c r="A304" s="1" t="s">
        <v>40</v>
      </c>
    </row>
    <row r="305" spans="1:26" ht="15" thickBot="1" x14ac:dyDescent="0.35">
      <c r="A305" s="76" t="s">
        <v>240</v>
      </c>
      <c r="B305" s="65">
        <v>0.9</v>
      </c>
      <c r="C305" s="3"/>
      <c r="D305" s="3"/>
      <c r="E305" s="3"/>
    </row>
    <row r="307" spans="1:26" ht="15" thickBot="1" x14ac:dyDescent="0.35">
      <c r="A307" s="1" t="s">
        <v>51</v>
      </c>
    </row>
    <row r="308" spans="1:26" ht="15" thickBot="1" x14ac:dyDescent="0.35">
      <c r="A308" s="1"/>
      <c r="B308" s="158">
        <v>1</v>
      </c>
      <c r="C308" s="159">
        <v>2</v>
      </c>
      <c r="D308" s="159">
        <v>3</v>
      </c>
      <c r="E308" s="159">
        <v>4</v>
      </c>
      <c r="F308" s="159">
        <v>5</v>
      </c>
      <c r="G308" s="159">
        <v>6</v>
      </c>
      <c r="H308" s="159">
        <v>7</v>
      </c>
      <c r="I308" s="159">
        <v>8</v>
      </c>
      <c r="J308" s="159">
        <v>9</v>
      </c>
      <c r="K308" s="159">
        <v>10</v>
      </c>
      <c r="L308" s="159">
        <v>11</v>
      </c>
      <c r="M308" s="159">
        <v>12</v>
      </c>
      <c r="N308" s="159">
        <v>13</v>
      </c>
      <c r="O308" s="159">
        <v>14</v>
      </c>
      <c r="P308" s="159">
        <v>15</v>
      </c>
      <c r="Q308" s="159">
        <v>16</v>
      </c>
      <c r="R308" s="159">
        <v>17</v>
      </c>
      <c r="S308" s="159">
        <v>18</v>
      </c>
      <c r="T308" s="159">
        <v>19</v>
      </c>
      <c r="U308" s="159">
        <v>20</v>
      </c>
      <c r="V308" s="159">
        <v>21</v>
      </c>
      <c r="W308" s="159">
        <v>22</v>
      </c>
      <c r="X308" s="159">
        <v>23</v>
      </c>
      <c r="Y308" s="159">
        <v>24</v>
      </c>
      <c r="Z308" s="160">
        <v>25</v>
      </c>
    </row>
    <row r="309" spans="1:26" ht="15" thickBot="1" x14ac:dyDescent="0.35">
      <c r="A309" s="64" t="s">
        <v>52</v>
      </c>
      <c r="B309" s="51">
        <v>0.25</v>
      </c>
      <c r="C309" s="52">
        <v>0.18</v>
      </c>
      <c r="D309" s="52">
        <v>0.18</v>
      </c>
      <c r="E309" s="52">
        <v>0.25</v>
      </c>
      <c r="F309" s="52">
        <v>0.25</v>
      </c>
      <c r="G309" s="52">
        <v>0.18</v>
      </c>
      <c r="H309" s="52">
        <v>0.18</v>
      </c>
      <c r="I309" s="52">
        <v>0.18</v>
      </c>
      <c r="J309" s="52">
        <v>0.18</v>
      </c>
      <c r="K309" s="52">
        <v>0.18</v>
      </c>
      <c r="L309" s="52">
        <v>0.18</v>
      </c>
      <c r="M309" s="52">
        <v>0.18</v>
      </c>
      <c r="N309" s="52">
        <v>0.18</v>
      </c>
      <c r="O309" s="52">
        <v>0.18</v>
      </c>
      <c r="P309" s="52">
        <v>0.18</v>
      </c>
      <c r="Q309" s="52">
        <v>0.18</v>
      </c>
      <c r="R309" s="52">
        <v>0.18</v>
      </c>
      <c r="S309" s="52">
        <v>0.18</v>
      </c>
      <c r="T309" s="52">
        <v>0.18</v>
      </c>
      <c r="U309" s="52">
        <v>0.18</v>
      </c>
      <c r="V309" s="52">
        <v>0.18</v>
      </c>
      <c r="W309" s="52">
        <v>0.18</v>
      </c>
      <c r="X309" s="52">
        <v>0.18</v>
      </c>
      <c r="Y309" s="52">
        <v>0.18</v>
      </c>
      <c r="Z309" s="53">
        <v>0.18</v>
      </c>
    </row>
    <row r="310" spans="1:26" x14ac:dyDescent="0.3">
      <c r="A310" s="1"/>
    </row>
    <row r="311" spans="1:26" ht="15" thickBot="1" x14ac:dyDescent="0.35">
      <c r="A311" s="1" t="s">
        <v>53</v>
      </c>
    </row>
    <row r="312" spans="1:26" x14ac:dyDescent="0.3">
      <c r="A312" s="26" t="s">
        <v>54</v>
      </c>
      <c r="B312" s="71">
        <v>0.24520548</v>
      </c>
    </row>
    <row r="313" spans="1:26" ht="28.8" x14ac:dyDescent="0.3">
      <c r="A313" s="27" t="s">
        <v>55</v>
      </c>
      <c r="B313" s="72">
        <v>0.5</v>
      </c>
    </row>
    <row r="314" spans="1:26" ht="15" thickBot="1" x14ac:dyDescent="0.35">
      <c r="A314" s="47" t="s">
        <v>56</v>
      </c>
      <c r="B314" s="73">
        <v>0.49041096000000001</v>
      </c>
    </row>
    <row r="317" spans="1:26" ht="31.2" x14ac:dyDescent="0.6">
      <c r="A317" s="16" t="s">
        <v>242</v>
      </c>
    </row>
    <row r="318" spans="1:26" ht="15" thickBot="1" x14ac:dyDescent="0.35">
      <c r="A318" s="1" t="s">
        <v>262</v>
      </c>
    </row>
    <row r="319" spans="1:26" ht="15" thickBot="1" x14ac:dyDescent="0.35">
      <c r="B319" s="158">
        <v>1</v>
      </c>
      <c r="C319" s="158">
        <v>2</v>
      </c>
      <c r="D319" s="158">
        <v>3</v>
      </c>
      <c r="E319" s="158">
        <v>4</v>
      </c>
      <c r="F319" s="158">
        <v>5</v>
      </c>
      <c r="G319" s="158">
        <v>6</v>
      </c>
      <c r="H319" s="158">
        <v>7</v>
      </c>
      <c r="I319" s="158">
        <v>8</v>
      </c>
      <c r="J319" s="158">
        <v>9</v>
      </c>
      <c r="K319" s="158">
        <v>10</v>
      </c>
      <c r="L319" s="158">
        <v>11</v>
      </c>
      <c r="M319" s="158">
        <v>12</v>
      </c>
      <c r="N319" s="158">
        <v>13</v>
      </c>
      <c r="O319" s="158">
        <v>14</v>
      </c>
      <c r="P319" s="158">
        <v>15</v>
      </c>
      <c r="Q319" s="158">
        <v>16</v>
      </c>
      <c r="R319" s="158">
        <v>17</v>
      </c>
      <c r="S319" s="158">
        <v>18</v>
      </c>
      <c r="T319" s="158">
        <v>19</v>
      </c>
      <c r="U319" s="158">
        <v>20</v>
      </c>
      <c r="V319" s="158">
        <v>21</v>
      </c>
      <c r="W319" s="158">
        <v>22</v>
      </c>
      <c r="X319" s="158">
        <v>23</v>
      </c>
      <c r="Y319" s="158">
        <v>24</v>
      </c>
      <c r="Z319" s="161">
        <v>25</v>
      </c>
    </row>
    <row r="320" spans="1:26" x14ac:dyDescent="0.3">
      <c r="A320" s="77" t="s">
        <v>243</v>
      </c>
      <c r="B320" s="5">
        <v>0</v>
      </c>
      <c r="C320" s="6">
        <v>0</v>
      </c>
      <c r="D320" s="6">
        <v>2.8716182152088075E-5</v>
      </c>
      <c r="E320" s="6">
        <v>0</v>
      </c>
      <c r="F320" s="6">
        <v>0</v>
      </c>
      <c r="G320" s="6">
        <v>0</v>
      </c>
      <c r="H320" s="6">
        <v>0</v>
      </c>
      <c r="I320" s="6">
        <v>0</v>
      </c>
      <c r="J320" s="6">
        <v>0</v>
      </c>
      <c r="K320" s="6">
        <v>0</v>
      </c>
      <c r="L320" s="6">
        <v>0</v>
      </c>
      <c r="M320" s="6">
        <v>0</v>
      </c>
      <c r="N320" s="6">
        <v>0</v>
      </c>
      <c r="O320" s="6">
        <v>0</v>
      </c>
      <c r="P320" s="6">
        <v>0</v>
      </c>
      <c r="Q320" s="6">
        <v>0</v>
      </c>
      <c r="R320" s="6">
        <v>0</v>
      </c>
      <c r="S320" s="6">
        <v>0</v>
      </c>
      <c r="T320" s="6">
        <v>0</v>
      </c>
      <c r="U320" s="6">
        <v>0</v>
      </c>
      <c r="V320" s="6">
        <v>0</v>
      </c>
      <c r="W320" s="6">
        <v>0</v>
      </c>
      <c r="X320" s="6">
        <v>0</v>
      </c>
      <c r="Y320" s="6">
        <v>0</v>
      </c>
      <c r="Z320" s="45">
        <v>0</v>
      </c>
    </row>
    <row r="321" spans="1:29" x14ac:dyDescent="0.3">
      <c r="A321" s="78" t="s">
        <v>244</v>
      </c>
      <c r="B321" s="7">
        <v>0</v>
      </c>
      <c r="C321" s="8">
        <v>0</v>
      </c>
      <c r="D321" s="8">
        <v>1.2292126007499013E-5</v>
      </c>
      <c r="E321" s="8">
        <v>0</v>
      </c>
      <c r="F321" s="8">
        <v>0</v>
      </c>
      <c r="G321" s="8">
        <v>0</v>
      </c>
      <c r="H321" s="8">
        <v>0</v>
      </c>
      <c r="I321" s="8">
        <v>0</v>
      </c>
      <c r="J321" s="8">
        <v>0</v>
      </c>
      <c r="K321" s="8">
        <v>0</v>
      </c>
      <c r="L321" s="8">
        <v>0</v>
      </c>
      <c r="M321" s="8">
        <v>0</v>
      </c>
      <c r="N321" s="8">
        <v>0</v>
      </c>
      <c r="O321" s="8">
        <v>0</v>
      </c>
      <c r="P321" s="8">
        <v>0</v>
      </c>
      <c r="Q321" s="8">
        <v>0</v>
      </c>
      <c r="R321" s="8">
        <v>0</v>
      </c>
      <c r="S321" s="8">
        <v>0</v>
      </c>
      <c r="T321" s="8">
        <v>0</v>
      </c>
      <c r="U321" s="8">
        <v>0</v>
      </c>
      <c r="V321" s="8">
        <v>0</v>
      </c>
      <c r="W321" s="8">
        <v>0</v>
      </c>
      <c r="X321" s="8">
        <v>0</v>
      </c>
      <c r="Y321" s="8">
        <v>0</v>
      </c>
      <c r="Z321" s="10">
        <v>0</v>
      </c>
    </row>
    <row r="322" spans="1:29" x14ac:dyDescent="0.3">
      <c r="A322" s="78" t="s">
        <v>245</v>
      </c>
      <c r="B322" s="7">
        <v>0</v>
      </c>
      <c r="C322" s="8">
        <v>0</v>
      </c>
      <c r="D322" s="8">
        <v>7.6963782370070671E-6</v>
      </c>
      <c r="E322" s="8">
        <v>0</v>
      </c>
      <c r="F322" s="8">
        <v>0</v>
      </c>
      <c r="G322" s="8">
        <v>0</v>
      </c>
      <c r="H322" s="8">
        <v>0</v>
      </c>
      <c r="I322" s="8">
        <v>0</v>
      </c>
      <c r="J322" s="8">
        <v>0</v>
      </c>
      <c r="K322" s="8">
        <v>0</v>
      </c>
      <c r="L322" s="8">
        <v>0</v>
      </c>
      <c r="M322" s="8">
        <v>0</v>
      </c>
      <c r="N322" s="8">
        <v>0</v>
      </c>
      <c r="O322" s="8">
        <v>0</v>
      </c>
      <c r="P322" s="8">
        <v>0</v>
      </c>
      <c r="Q322" s="8">
        <v>0</v>
      </c>
      <c r="R322" s="8">
        <v>0</v>
      </c>
      <c r="S322" s="8">
        <v>0</v>
      </c>
      <c r="T322" s="8">
        <v>0</v>
      </c>
      <c r="U322" s="8">
        <v>0</v>
      </c>
      <c r="V322" s="8">
        <v>0</v>
      </c>
      <c r="W322" s="8">
        <v>0</v>
      </c>
      <c r="X322" s="8">
        <v>0</v>
      </c>
      <c r="Y322" s="8">
        <v>0</v>
      </c>
      <c r="Z322" s="10">
        <v>0</v>
      </c>
    </row>
    <row r="323" spans="1:29" x14ac:dyDescent="0.3">
      <c r="A323" s="78" t="s">
        <v>246</v>
      </c>
      <c r="B323" s="7">
        <v>0</v>
      </c>
      <c r="C323" s="8">
        <v>0</v>
      </c>
      <c r="D323" s="8">
        <v>0</v>
      </c>
      <c r="E323" s="8">
        <v>0</v>
      </c>
      <c r="F323" s="8">
        <v>0</v>
      </c>
      <c r="G323" s="8">
        <v>0</v>
      </c>
      <c r="H323" s="8">
        <v>0</v>
      </c>
      <c r="I323" s="8">
        <v>0</v>
      </c>
      <c r="J323" s="8">
        <v>0</v>
      </c>
      <c r="K323" s="8">
        <v>0</v>
      </c>
      <c r="L323" s="8">
        <v>0</v>
      </c>
      <c r="M323" s="8">
        <v>5.327068186619166E-5</v>
      </c>
      <c r="N323" s="8">
        <v>4.4175862960279431E-5</v>
      </c>
      <c r="O323" s="8">
        <v>6.9581335673939216E-5</v>
      </c>
      <c r="P323" s="8">
        <v>2.4870674077356007E-4</v>
      </c>
      <c r="Q323" s="8">
        <v>8.3094705762212033E-5</v>
      </c>
      <c r="R323" s="8">
        <v>1.1756669307382071E-3</v>
      </c>
      <c r="S323" s="8">
        <v>3.1789774123807853E-3</v>
      </c>
      <c r="T323" s="8">
        <v>2.042013475954584E-3</v>
      </c>
      <c r="U323" s="8">
        <v>4.7687125641331831E-5</v>
      </c>
      <c r="V323" s="8">
        <v>0</v>
      </c>
      <c r="W323" s="8">
        <v>0</v>
      </c>
      <c r="X323" s="8">
        <v>0</v>
      </c>
      <c r="Y323" s="8">
        <v>0</v>
      </c>
      <c r="Z323" s="10">
        <v>0</v>
      </c>
    </row>
    <row r="324" spans="1:29" x14ac:dyDescent="0.3">
      <c r="A324" s="78" t="s">
        <v>247</v>
      </c>
      <c r="B324" s="7">
        <v>0</v>
      </c>
      <c r="C324" s="8">
        <v>0</v>
      </c>
      <c r="D324" s="8">
        <v>0</v>
      </c>
      <c r="E324" s="8">
        <v>0</v>
      </c>
      <c r="F324" s="8">
        <v>0</v>
      </c>
      <c r="G324" s="8">
        <v>0</v>
      </c>
      <c r="H324" s="8">
        <v>0</v>
      </c>
      <c r="I324" s="8">
        <v>0</v>
      </c>
      <c r="J324" s="8">
        <v>0</v>
      </c>
      <c r="K324" s="8">
        <v>1.622767279509737E-3</v>
      </c>
      <c r="L324" s="8">
        <v>0</v>
      </c>
      <c r="M324" s="8">
        <v>0</v>
      </c>
      <c r="N324" s="8">
        <v>0</v>
      </c>
      <c r="O324" s="8">
        <v>0</v>
      </c>
      <c r="P324" s="8">
        <v>0</v>
      </c>
      <c r="Q324" s="8">
        <v>0</v>
      </c>
      <c r="R324" s="8">
        <v>0</v>
      </c>
      <c r="S324" s="8">
        <v>0</v>
      </c>
      <c r="T324" s="8">
        <v>0</v>
      </c>
      <c r="U324" s="8">
        <v>0</v>
      </c>
      <c r="V324" s="8">
        <v>0</v>
      </c>
      <c r="W324" s="8">
        <v>0</v>
      </c>
      <c r="X324" s="8">
        <v>0</v>
      </c>
      <c r="Y324" s="8">
        <v>0</v>
      </c>
      <c r="Z324" s="10">
        <v>0</v>
      </c>
    </row>
    <row r="325" spans="1:29" ht="15" thickBot="1" x14ac:dyDescent="0.35">
      <c r="A325" s="79" t="s">
        <v>248</v>
      </c>
      <c r="B325" s="44">
        <v>0</v>
      </c>
      <c r="C325" s="38">
        <v>0</v>
      </c>
      <c r="D325" s="38">
        <v>3.0801505252742279E-6</v>
      </c>
      <c r="E325" s="38">
        <v>0</v>
      </c>
      <c r="F325" s="38">
        <v>0</v>
      </c>
      <c r="G325" s="38">
        <v>0</v>
      </c>
      <c r="H325" s="38">
        <v>0</v>
      </c>
      <c r="I325" s="38">
        <v>0</v>
      </c>
      <c r="J325" s="38">
        <v>0</v>
      </c>
      <c r="K325" s="38">
        <v>0</v>
      </c>
      <c r="L325" s="38">
        <v>0</v>
      </c>
      <c r="M325" s="38">
        <v>0</v>
      </c>
      <c r="N325" s="38">
        <v>0</v>
      </c>
      <c r="O325" s="38">
        <v>0</v>
      </c>
      <c r="P325" s="38">
        <v>0</v>
      </c>
      <c r="Q325" s="38">
        <v>0</v>
      </c>
      <c r="R325" s="38">
        <v>0</v>
      </c>
      <c r="S325" s="38">
        <v>0</v>
      </c>
      <c r="T325" s="38">
        <v>0</v>
      </c>
      <c r="U325" s="38">
        <v>0</v>
      </c>
      <c r="V325" s="38">
        <v>0</v>
      </c>
      <c r="W325" s="38">
        <v>0</v>
      </c>
      <c r="X325" s="38">
        <v>0</v>
      </c>
      <c r="Y325" s="38">
        <v>0</v>
      </c>
      <c r="Z325" s="39">
        <v>0</v>
      </c>
    </row>
    <row r="326" spans="1:29" x14ac:dyDescent="0.3">
      <c r="A326" s="80"/>
      <c r="B326" s="9"/>
      <c r="C326" s="9"/>
      <c r="D326" s="9"/>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row>
    <row r="327" spans="1:29" ht="15" thickBot="1" x14ac:dyDescent="0.35">
      <c r="A327" s="1" t="s">
        <v>249</v>
      </c>
    </row>
    <row r="328" spans="1:29" ht="15" thickBot="1" x14ac:dyDescent="0.35">
      <c r="A328" s="1"/>
      <c r="B328" s="136">
        <v>1</v>
      </c>
      <c r="C328" s="136">
        <v>2</v>
      </c>
      <c r="D328" s="136">
        <v>3</v>
      </c>
      <c r="E328" s="136">
        <v>4</v>
      </c>
      <c r="F328" s="136">
        <v>5</v>
      </c>
      <c r="G328" s="136">
        <v>6</v>
      </c>
      <c r="H328" s="136">
        <v>7</v>
      </c>
      <c r="I328" s="136">
        <v>8</v>
      </c>
      <c r="J328" s="136">
        <v>9</v>
      </c>
      <c r="K328" s="136">
        <v>10</v>
      </c>
      <c r="L328" s="136">
        <v>11</v>
      </c>
      <c r="M328" s="136">
        <v>12</v>
      </c>
      <c r="N328" s="136">
        <v>13</v>
      </c>
      <c r="O328" s="136">
        <v>14</v>
      </c>
      <c r="P328" s="136">
        <v>15</v>
      </c>
      <c r="Q328" s="136">
        <v>16</v>
      </c>
      <c r="R328" s="136">
        <v>17</v>
      </c>
      <c r="S328" s="136">
        <v>18</v>
      </c>
      <c r="T328" s="136">
        <v>19</v>
      </c>
      <c r="U328" s="136">
        <v>20</v>
      </c>
      <c r="V328" s="136">
        <v>21</v>
      </c>
      <c r="W328" s="136">
        <v>22</v>
      </c>
      <c r="X328" s="136">
        <v>23</v>
      </c>
      <c r="Y328" s="136">
        <v>24</v>
      </c>
      <c r="Z328" s="114">
        <v>25</v>
      </c>
    </row>
    <row r="329" spans="1:29" x14ac:dyDescent="0.3">
      <c r="A329" s="77" t="s">
        <v>250</v>
      </c>
      <c r="B329" s="5">
        <v>0</v>
      </c>
      <c r="C329" s="6">
        <v>0</v>
      </c>
      <c r="D329" s="6">
        <v>0</v>
      </c>
      <c r="E329" s="6">
        <v>0</v>
      </c>
      <c r="F329" s="6">
        <v>0</v>
      </c>
      <c r="G329" s="6">
        <v>0</v>
      </c>
      <c r="H329" s="6">
        <v>0</v>
      </c>
      <c r="I329" s="6">
        <v>7.5519153074381356E-5</v>
      </c>
      <c r="J329" s="6">
        <v>0</v>
      </c>
      <c r="K329" s="6">
        <v>0</v>
      </c>
      <c r="L329" s="6">
        <v>0</v>
      </c>
      <c r="M329" s="6">
        <v>0</v>
      </c>
      <c r="N329" s="6">
        <v>0</v>
      </c>
      <c r="O329" s="6">
        <v>0</v>
      </c>
      <c r="P329" s="6">
        <v>0</v>
      </c>
      <c r="Q329" s="6">
        <v>0</v>
      </c>
      <c r="R329" s="6">
        <v>0</v>
      </c>
      <c r="S329" s="6">
        <v>0</v>
      </c>
      <c r="T329" s="6">
        <v>0</v>
      </c>
      <c r="U329" s="6">
        <v>0</v>
      </c>
      <c r="V329" s="6">
        <v>0</v>
      </c>
      <c r="W329" s="6">
        <v>0</v>
      </c>
      <c r="X329" s="6">
        <v>0</v>
      </c>
      <c r="Y329" s="6">
        <v>0</v>
      </c>
      <c r="Z329" s="45">
        <v>0</v>
      </c>
    </row>
    <row r="330" spans="1:29" x14ac:dyDescent="0.3">
      <c r="A330" s="78" t="s">
        <v>251</v>
      </c>
      <c r="B330" s="7">
        <v>0</v>
      </c>
      <c r="C330" s="8">
        <v>0</v>
      </c>
      <c r="D330" s="8">
        <v>0</v>
      </c>
      <c r="E330" s="8">
        <v>0</v>
      </c>
      <c r="F330" s="8">
        <v>0</v>
      </c>
      <c r="G330" s="8">
        <v>0</v>
      </c>
      <c r="H330" s="8">
        <v>0</v>
      </c>
      <c r="I330" s="8">
        <v>2.1779956006244352E-5</v>
      </c>
      <c r="J330" s="8">
        <v>0</v>
      </c>
      <c r="K330" s="8">
        <v>0</v>
      </c>
      <c r="L330" s="8">
        <v>0</v>
      </c>
      <c r="M330" s="8">
        <v>0</v>
      </c>
      <c r="N330" s="8">
        <v>0</v>
      </c>
      <c r="O330" s="8">
        <v>0</v>
      </c>
      <c r="P330" s="8">
        <v>0</v>
      </c>
      <c r="Q330" s="8">
        <v>0</v>
      </c>
      <c r="R330" s="8">
        <v>0</v>
      </c>
      <c r="S330" s="8">
        <v>0</v>
      </c>
      <c r="T330" s="8">
        <v>0</v>
      </c>
      <c r="U330" s="8">
        <v>0</v>
      </c>
      <c r="V330" s="8">
        <v>0</v>
      </c>
      <c r="W330" s="8">
        <v>0</v>
      </c>
      <c r="X330" s="8">
        <v>0</v>
      </c>
      <c r="Y330" s="8">
        <v>0</v>
      </c>
      <c r="Z330" s="10">
        <v>0</v>
      </c>
    </row>
    <row r="331" spans="1:29" x14ac:dyDescent="0.3">
      <c r="A331" s="78" t="s">
        <v>252</v>
      </c>
      <c r="B331" s="7">
        <v>0</v>
      </c>
      <c r="C331" s="8">
        <v>0</v>
      </c>
      <c r="D331" s="8">
        <v>0</v>
      </c>
      <c r="E331" s="8">
        <v>0</v>
      </c>
      <c r="F331" s="8">
        <v>0</v>
      </c>
      <c r="G331" s="8">
        <v>0</v>
      </c>
      <c r="H331" s="8">
        <v>0</v>
      </c>
      <c r="I331" s="8">
        <v>5.5656676609401311E-6</v>
      </c>
      <c r="J331" s="8">
        <v>0</v>
      </c>
      <c r="K331" s="8">
        <v>0</v>
      </c>
      <c r="L331" s="8">
        <v>0</v>
      </c>
      <c r="M331" s="8">
        <v>0</v>
      </c>
      <c r="N331" s="8">
        <v>0</v>
      </c>
      <c r="O331" s="8">
        <v>0</v>
      </c>
      <c r="P331" s="8">
        <v>0</v>
      </c>
      <c r="Q331" s="8">
        <v>0</v>
      </c>
      <c r="R331" s="8">
        <v>0</v>
      </c>
      <c r="S331" s="8">
        <v>0</v>
      </c>
      <c r="T331" s="8">
        <v>0</v>
      </c>
      <c r="U331" s="8">
        <v>0</v>
      </c>
      <c r="V331" s="8">
        <v>0</v>
      </c>
      <c r="W331" s="8">
        <v>0</v>
      </c>
      <c r="X331" s="8">
        <v>0</v>
      </c>
      <c r="Y331" s="8">
        <v>0</v>
      </c>
      <c r="Z331" s="10">
        <v>0</v>
      </c>
    </row>
    <row r="332" spans="1:29" x14ac:dyDescent="0.3">
      <c r="A332" s="78" t="s">
        <v>246</v>
      </c>
      <c r="B332" s="7">
        <v>0</v>
      </c>
      <c r="C332" s="8">
        <v>0</v>
      </c>
      <c r="D332" s="8">
        <v>0</v>
      </c>
      <c r="E332" s="8">
        <v>0</v>
      </c>
      <c r="F332" s="8">
        <v>0</v>
      </c>
      <c r="G332" s="8">
        <v>0</v>
      </c>
      <c r="H332" s="8">
        <v>0</v>
      </c>
      <c r="I332" s="8">
        <v>0</v>
      </c>
      <c r="J332" s="8">
        <v>0</v>
      </c>
      <c r="K332" s="8">
        <v>0</v>
      </c>
      <c r="L332" s="8">
        <v>0</v>
      </c>
      <c r="M332" s="8">
        <v>0</v>
      </c>
      <c r="N332" s="8">
        <v>0</v>
      </c>
      <c r="O332" s="8">
        <v>0</v>
      </c>
      <c r="P332" s="8">
        <v>0</v>
      </c>
      <c r="Q332" s="8">
        <v>0</v>
      </c>
      <c r="R332" s="8">
        <v>0</v>
      </c>
      <c r="S332" s="8">
        <v>0</v>
      </c>
      <c r="T332" s="8">
        <v>0</v>
      </c>
      <c r="U332" s="8">
        <v>0</v>
      </c>
      <c r="V332" s="8">
        <v>0</v>
      </c>
      <c r="W332" s="8">
        <v>0</v>
      </c>
      <c r="X332" s="8">
        <v>0</v>
      </c>
      <c r="Y332" s="8">
        <v>0</v>
      </c>
      <c r="Z332" s="10">
        <v>0</v>
      </c>
    </row>
    <row r="333" spans="1:29" x14ac:dyDescent="0.3">
      <c r="A333" s="78" t="s">
        <v>247</v>
      </c>
      <c r="B333" s="7">
        <v>0</v>
      </c>
      <c r="C333" s="8">
        <v>0</v>
      </c>
      <c r="D333" s="8">
        <v>0</v>
      </c>
      <c r="E333" s="8">
        <v>0</v>
      </c>
      <c r="F333" s="8">
        <v>0</v>
      </c>
      <c r="G333" s="8">
        <v>0</v>
      </c>
      <c r="H333" s="8">
        <v>0</v>
      </c>
      <c r="I333" s="8">
        <v>0</v>
      </c>
      <c r="J333" s="8">
        <v>0</v>
      </c>
      <c r="K333" s="8">
        <v>0</v>
      </c>
      <c r="L333" s="8">
        <v>0</v>
      </c>
      <c r="M333" s="8">
        <v>0</v>
      </c>
      <c r="N333" s="8">
        <v>0</v>
      </c>
      <c r="O333" s="8">
        <v>0</v>
      </c>
      <c r="P333" s="8">
        <v>0</v>
      </c>
      <c r="Q333" s="8">
        <v>0</v>
      </c>
      <c r="R333" s="8">
        <v>0</v>
      </c>
      <c r="S333" s="8">
        <v>0</v>
      </c>
      <c r="T333" s="8">
        <v>0</v>
      </c>
      <c r="U333" s="8">
        <v>0</v>
      </c>
      <c r="V333" s="8">
        <v>0</v>
      </c>
      <c r="W333" s="8">
        <v>0</v>
      </c>
      <c r="X333" s="8">
        <v>0</v>
      </c>
      <c r="Y333" s="8">
        <v>0</v>
      </c>
      <c r="Z333" s="10">
        <v>0</v>
      </c>
    </row>
    <row r="334" spans="1:29" ht="15" thickBot="1" x14ac:dyDescent="0.35">
      <c r="A334" s="79" t="s">
        <v>248</v>
      </c>
      <c r="B334" s="44">
        <v>0</v>
      </c>
      <c r="C334" s="38">
        <v>0</v>
      </c>
      <c r="D334" s="38">
        <v>0</v>
      </c>
      <c r="E334" s="38">
        <v>0</v>
      </c>
      <c r="F334" s="38">
        <v>0</v>
      </c>
      <c r="G334" s="38">
        <v>0</v>
      </c>
      <c r="H334" s="38">
        <v>0</v>
      </c>
      <c r="I334" s="38">
        <v>0</v>
      </c>
      <c r="J334" s="38">
        <v>0</v>
      </c>
      <c r="K334" s="38">
        <v>0</v>
      </c>
      <c r="L334" s="38">
        <v>0</v>
      </c>
      <c r="M334" s="38">
        <v>0</v>
      </c>
      <c r="N334" s="38">
        <v>0</v>
      </c>
      <c r="O334" s="38">
        <v>0</v>
      </c>
      <c r="P334" s="38">
        <v>0</v>
      </c>
      <c r="Q334" s="38">
        <v>0</v>
      </c>
      <c r="R334" s="38">
        <v>0</v>
      </c>
      <c r="S334" s="38">
        <v>0</v>
      </c>
      <c r="T334" s="38">
        <v>0</v>
      </c>
      <c r="U334" s="38">
        <v>0</v>
      </c>
      <c r="V334" s="38">
        <v>0</v>
      </c>
      <c r="W334" s="38">
        <v>0</v>
      </c>
      <c r="X334" s="38">
        <v>0</v>
      </c>
      <c r="Y334" s="38">
        <v>0</v>
      </c>
      <c r="Z334" s="39">
        <v>0</v>
      </c>
    </row>
    <row r="336" spans="1:29" ht="15" thickBot="1" x14ac:dyDescent="0.35">
      <c r="A336" s="1" t="s">
        <v>263</v>
      </c>
    </row>
    <row r="337" spans="1:2" x14ac:dyDescent="0.3">
      <c r="A337" s="77" t="s">
        <v>253</v>
      </c>
      <c r="B337" s="66">
        <v>1.0747648258786939</v>
      </c>
    </row>
    <row r="338" spans="1:2" x14ac:dyDescent="0.3">
      <c r="A338" s="78" t="s">
        <v>254</v>
      </c>
      <c r="B338" s="58">
        <v>1.4785945797085507</v>
      </c>
    </row>
    <row r="339" spans="1:2" x14ac:dyDescent="0.3">
      <c r="A339" s="78" t="s">
        <v>255</v>
      </c>
      <c r="B339" s="58">
        <v>2.0279959599874169</v>
      </c>
    </row>
    <row r="340" spans="1:2" ht="15" thickBot="1" x14ac:dyDescent="0.35">
      <c r="A340" s="79" t="s">
        <v>256</v>
      </c>
      <c r="B340" s="59">
        <v>3.5782772950888475</v>
      </c>
    </row>
    <row r="342" spans="1:2" ht="15" thickBot="1" x14ac:dyDescent="0.35">
      <c r="A342" s="1" t="s">
        <v>257</v>
      </c>
    </row>
    <row r="343" spans="1:2" x14ac:dyDescent="0.3">
      <c r="A343" s="77" t="s">
        <v>258</v>
      </c>
      <c r="B343" s="66">
        <v>4.4374009508716325E-2</v>
      </c>
    </row>
    <row r="344" spans="1:2" x14ac:dyDescent="0.3">
      <c r="A344" s="78" t="s">
        <v>259</v>
      </c>
      <c r="B344" s="58">
        <v>0.37400950871632332</v>
      </c>
    </row>
    <row r="345" spans="1:2" ht="15" thickBot="1" x14ac:dyDescent="0.35">
      <c r="A345" s="78" t="s">
        <v>260</v>
      </c>
      <c r="B345" s="59">
        <v>0.58161648177496039</v>
      </c>
    </row>
    <row r="347" spans="1:2" ht="15" thickBot="1" x14ac:dyDescent="0.35">
      <c r="A347" s="1" t="s">
        <v>261</v>
      </c>
    </row>
    <row r="348" spans="1:2" x14ac:dyDescent="0.3">
      <c r="A348" s="77" t="s">
        <v>258</v>
      </c>
      <c r="B348" s="66">
        <v>2.5</v>
      </c>
    </row>
    <row r="349" spans="1:2" x14ac:dyDescent="0.3">
      <c r="A349" s="78" t="s">
        <v>259</v>
      </c>
      <c r="B349" s="58">
        <v>2.0408163265306123</v>
      </c>
    </row>
    <row r="350" spans="1:2" x14ac:dyDescent="0.3">
      <c r="A350" s="78" t="s">
        <v>260</v>
      </c>
      <c r="B350" s="58">
        <v>2.7027027027027026</v>
      </c>
    </row>
    <row r="353" spans="1:26" ht="15" thickBot="1" x14ac:dyDescent="0.35">
      <c r="A353" s="1" t="s">
        <v>32</v>
      </c>
    </row>
    <row r="354" spans="1:26" ht="43.8" thickBot="1" x14ac:dyDescent="0.35">
      <c r="A354" s="31" t="s">
        <v>31</v>
      </c>
      <c r="B354" s="81">
        <v>2E-3</v>
      </c>
    </row>
    <row r="356" spans="1:26" ht="15" thickBot="1" x14ac:dyDescent="0.35">
      <c r="A356" s="1" t="s">
        <v>264</v>
      </c>
    </row>
    <row r="357" spans="1:26" ht="29.4" thickBot="1" x14ac:dyDescent="0.35">
      <c r="A357" s="31" t="s">
        <v>265</v>
      </c>
      <c r="B357" s="18">
        <v>495390</v>
      </c>
    </row>
    <row r="359" spans="1:26" ht="15" thickBot="1" x14ac:dyDescent="0.35">
      <c r="A359" s="1" t="s">
        <v>57</v>
      </c>
    </row>
    <row r="360" spans="1:26" x14ac:dyDescent="0.3">
      <c r="A360" s="26" t="s">
        <v>58</v>
      </c>
      <c r="B360" s="66">
        <v>0.89870000000000005</v>
      </c>
      <c r="C360" s="17"/>
    </row>
    <row r="361" spans="1:26" ht="15" thickBot="1" x14ac:dyDescent="0.35">
      <c r="A361" s="47" t="s">
        <v>59</v>
      </c>
      <c r="B361" s="59">
        <v>2.2900999999999998</v>
      </c>
      <c r="C361" s="17"/>
    </row>
    <row r="362" spans="1:26" x14ac:dyDescent="0.3">
      <c r="A362" s="13"/>
      <c r="B362" s="17"/>
      <c r="C362" s="17"/>
    </row>
    <row r="363" spans="1:26" x14ac:dyDescent="0.3">
      <c r="A363" s="13"/>
      <c r="B363" s="17"/>
      <c r="C363" s="17"/>
    </row>
    <row r="364" spans="1:26" ht="31.2" x14ac:dyDescent="0.6">
      <c r="A364" s="16" t="s">
        <v>267</v>
      </c>
      <c r="B364" s="17"/>
      <c r="C364" s="17"/>
    </row>
    <row r="365" spans="1:26" ht="15" thickBot="1" x14ac:dyDescent="0.35">
      <c r="A365" s="1" t="s">
        <v>268</v>
      </c>
    </row>
    <row r="366" spans="1:26" ht="15" thickBot="1" x14ac:dyDescent="0.35">
      <c r="B366" s="5">
        <f>1</f>
        <v>1</v>
      </c>
      <c r="C366" s="5">
        <f>B366+1</f>
        <v>2</v>
      </c>
      <c r="D366" s="5">
        <f t="shared" ref="D366:Z366" si="53">C366+1</f>
        <v>3</v>
      </c>
      <c r="E366" s="5">
        <f t="shared" si="53"/>
        <v>4</v>
      </c>
      <c r="F366" s="5">
        <f t="shared" si="53"/>
        <v>5</v>
      </c>
      <c r="G366" s="5">
        <f t="shared" si="53"/>
        <v>6</v>
      </c>
      <c r="H366" s="5">
        <f t="shared" si="53"/>
        <v>7</v>
      </c>
      <c r="I366" s="5">
        <f t="shared" si="53"/>
        <v>8</v>
      </c>
      <c r="J366" s="5">
        <f t="shared" si="53"/>
        <v>9</v>
      </c>
      <c r="K366" s="5">
        <f t="shared" si="53"/>
        <v>10</v>
      </c>
      <c r="L366" s="5">
        <f t="shared" si="53"/>
        <v>11</v>
      </c>
      <c r="M366" s="5">
        <f t="shared" si="53"/>
        <v>12</v>
      </c>
      <c r="N366" s="5">
        <f t="shared" si="53"/>
        <v>13</v>
      </c>
      <c r="O366" s="5">
        <f t="shared" si="53"/>
        <v>14</v>
      </c>
      <c r="P366" s="5">
        <f t="shared" si="53"/>
        <v>15</v>
      </c>
      <c r="Q366" s="5">
        <f t="shared" si="53"/>
        <v>16</v>
      </c>
      <c r="R366" s="5">
        <f t="shared" si="53"/>
        <v>17</v>
      </c>
      <c r="S366" s="5">
        <f t="shared" si="53"/>
        <v>18</v>
      </c>
      <c r="T366" s="5">
        <f t="shared" si="53"/>
        <v>19</v>
      </c>
      <c r="U366" s="5">
        <f t="shared" si="53"/>
        <v>20</v>
      </c>
      <c r="V366" s="5">
        <f t="shared" si="53"/>
        <v>21</v>
      </c>
      <c r="W366" s="5">
        <f t="shared" si="53"/>
        <v>22</v>
      </c>
      <c r="X366" s="5">
        <f t="shared" si="53"/>
        <v>23</v>
      </c>
      <c r="Y366" s="5">
        <f t="shared" si="53"/>
        <v>24</v>
      </c>
      <c r="Z366" s="66">
        <f t="shared" si="53"/>
        <v>25</v>
      </c>
    </row>
    <row r="367" spans="1:26" ht="28.8" x14ac:dyDescent="0.3">
      <c r="A367" s="26" t="s">
        <v>269</v>
      </c>
      <c r="B367" s="5">
        <v>0</v>
      </c>
      <c r="C367" s="6">
        <v>0</v>
      </c>
      <c r="D367" s="6">
        <v>0</v>
      </c>
      <c r="E367" s="6">
        <v>0</v>
      </c>
      <c r="F367" s="6">
        <v>0</v>
      </c>
      <c r="G367" s="6">
        <v>0</v>
      </c>
      <c r="H367" s="6">
        <v>0</v>
      </c>
      <c r="I367" s="6">
        <v>0</v>
      </c>
      <c r="J367" s="6">
        <v>0</v>
      </c>
      <c r="K367" s="6">
        <v>197.81112452931708</v>
      </c>
      <c r="L367" s="6">
        <v>0</v>
      </c>
      <c r="M367" s="6">
        <v>0</v>
      </c>
      <c r="N367" s="6">
        <v>0</v>
      </c>
      <c r="O367" s="6">
        <v>0</v>
      </c>
      <c r="P367" s="6">
        <v>5.5205073104227562</v>
      </c>
      <c r="Q367" s="6">
        <v>15.583121874877047</v>
      </c>
      <c r="R367" s="6">
        <v>7.2000544281503016</v>
      </c>
      <c r="S367" s="6">
        <v>30.546882565963909</v>
      </c>
      <c r="T367" s="6">
        <v>0</v>
      </c>
      <c r="U367" s="6">
        <v>3.0242976687805571E-2</v>
      </c>
      <c r="V367" s="6">
        <v>0</v>
      </c>
      <c r="W367" s="6">
        <v>0</v>
      </c>
      <c r="X367" s="6">
        <v>0</v>
      </c>
      <c r="Y367" s="6">
        <v>0</v>
      </c>
      <c r="Z367" s="45">
        <v>0</v>
      </c>
    </row>
    <row r="368" spans="1:26" ht="43.2" x14ac:dyDescent="0.3">
      <c r="A368" s="27" t="s">
        <v>270</v>
      </c>
      <c r="B368" s="7">
        <v>4.0322488912560592</v>
      </c>
      <c r="C368" s="8">
        <v>0</v>
      </c>
      <c r="D368" s="8">
        <v>0</v>
      </c>
      <c r="E368" s="8">
        <v>0</v>
      </c>
      <c r="F368" s="8">
        <v>0</v>
      </c>
      <c r="G368" s="8">
        <v>0</v>
      </c>
      <c r="H368" s="8">
        <v>0</v>
      </c>
      <c r="I368" s="8">
        <v>0</v>
      </c>
      <c r="J368" s="8">
        <v>0</v>
      </c>
      <c r="K368" s="8">
        <v>0</v>
      </c>
      <c r="L368" s="8">
        <v>0</v>
      </c>
      <c r="M368" s="8">
        <v>0</v>
      </c>
      <c r="N368" s="8">
        <v>0</v>
      </c>
      <c r="O368" s="8">
        <v>0</v>
      </c>
      <c r="P368" s="8">
        <v>0</v>
      </c>
      <c r="Q368" s="8">
        <v>0</v>
      </c>
      <c r="R368" s="8">
        <v>0</v>
      </c>
      <c r="S368" s="8">
        <v>0</v>
      </c>
      <c r="T368" s="8">
        <v>0</v>
      </c>
      <c r="U368" s="8">
        <v>0</v>
      </c>
      <c r="V368" s="8">
        <v>0</v>
      </c>
      <c r="W368" s="8">
        <v>0</v>
      </c>
      <c r="X368" s="8">
        <v>0</v>
      </c>
      <c r="Y368" s="8">
        <v>0</v>
      </c>
      <c r="Z368" s="10">
        <v>0</v>
      </c>
    </row>
    <row r="369" spans="1:52" x14ac:dyDescent="0.3">
      <c r="A369" s="27" t="s">
        <v>271</v>
      </c>
      <c r="B369" s="7">
        <v>0</v>
      </c>
      <c r="C369" s="8">
        <v>5.2980625947204647</v>
      </c>
      <c r="D369" s="8">
        <v>0</v>
      </c>
      <c r="E369" s="8">
        <v>0</v>
      </c>
      <c r="F369" s="8">
        <v>0</v>
      </c>
      <c r="G369" s="8">
        <v>0</v>
      </c>
      <c r="H369" s="8">
        <v>0</v>
      </c>
      <c r="I369" s="8">
        <v>0</v>
      </c>
      <c r="J369" s="8">
        <v>0</v>
      </c>
      <c r="K369" s="8">
        <v>0</v>
      </c>
      <c r="L369" s="8">
        <v>0</v>
      </c>
      <c r="M369" s="8">
        <v>0</v>
      </c>
      <c r="N369" s="8">
        <v>0</v>
      </c>
      <c r="O369" s="8">
        <v>0</v>
      </c>
      <c r="P369" s="8">
        <v>0</v>
      </c>
      <c r="Q369" s="8">
        <v>0</v>
      </c>
      <c r="R369" s="8">
        <v>0</v>
      </c>
      <c r="S369" s="8">
        <v>0</v>
      </c>
      <c r="T369" s="8">
        <v>0</v>
      </c>
      <c r="U369" s="8">
        <v>0</v>
      </c>
      <c r="V369" s="8">
        <v>0</v>
      </c>
      <c r="W369" s="8">
        <v>0</v>
      </c>
      <c r="X369" s="8">
        <v>0</v>
      </c>
      <c r="Y369" s="8">
        <v>0</v>
      </c>
      <c r="Z369" s="10">
        <v>0</v>
      </c>
    </row>
    <row r="370" spans="1:52" ht="15" thickBot="1" x14ac:dyDescent="0.35">
      <c r="A370" s="47" t="s">
        <v>272</v>
      </c>
      <c r="B370" s="44">
        <v>0.17363252972253837</v>
      </c>
      <c r="C370" s="38">
        <v>0.57580845294411453</v>
      </c>
      <c r="D370" s="38">
        <v>0</v>
      </c>
      <c r="E370" s="38">
        <v>0</v>
      </c>
      <c r="F370" s="38">
        <v>0</v>
      </c>
      <c r="G370" s="38">
        <v>0</v>
      </c>
      <c r="H370" s="38">
        <v>0</v>
      </c>
      <c r="I370" s="38">
        <v>0</v>
      </c>
      <c r="J370" s="38">
        <v>0</v>
      </c>
      <c r="K370" s="38">
        <v>0</v>
      </c>
      <c r="L370" s="38">
        <v>0</v>
      </c>
      <c r="M370" s="38">
        <v>0</v>
      </c>
      <c r="N370" s="38">
        <v>0</v>
      </c>
      <c r="O370" s="38">
        <v>0</v>
      </c>
      <c r="P370" s="38">
        <v>0</v>
      </c>
      <c r="Q370" s="38">
        <v>0</v>
      </c>
      <c r="R370" s="38">
        <v>0</v>
      </c>
      <c r="S370" s="38">
        <v>0</v>
      </c>
      <c r="T370" s="38">
        <v>0</v>
      </c>
      <c r="U370" s="38">
        <v>0</v>
      </c>
      <c r="V370" s="38">
        <v>0</v>
      </c>
      <c r="W370" s="38">
        <v>0</v>
      </c>
      <c r="X370" s="38">
        <v>0</v>
      </c>
      <c r="Y370" s="38">
        <v>0</v>
      </c>
      <c r="Z370" s="39">
        <v>0</v>
      </c>
    </row>
    <row r="372" spans="1:52" ht="15" thickBot="1" x14ac:dyDescent="0.35">
      <c r="A372" s="1" t="s">
        <v>273</v>
      </c>
    </row>
    <row r="373" spans="1:52" ht="29.4" thickBot="1" x14ac:dyDescent="0.35">
      <c r="A373" s="31" t="s">
        <v>274</v>
      </c>
      <c r="B373" s="81">
        <v>7.0000000000000001E-3</v>
      </c>
    </row>
    <row r="374" spans="1:52" ht="29.4" thickBot="1" x14ac:dyDescent="0.35">
      <c r="A374" s="64" t="s">
        <v>275</v>
      </c>
      <c r="B374" s="81">
        <v>4.8534229225657477E-2</v>
      </c>
    </row>
    <row r="376" spans="1:52" ht="15" thickBot="1" x14ac:dyDescent="0.35">
      <c r="A376" s="1" t="s">
        <v>276</v>
      </c>
    </row>
    <row r="377" spans="1:52" ht="15" thickBot="1" x14ac:dyDescent="0.35">
      <c r="B377" s="5">
        <v>1</v>
      </c>
      <c r="C377" s="5">
        <v>2</v>
      </c>
      <c r="D377" s="5">
        <v>3</v>
      </c>
      <c r="E377" s="5">
        <v>4</v>
      </c>
      <c r="F377" s="5">
        <v>5</v>
      </c>
      <c r="G377" s="5">
        <v>6</v>
      </c>
      <c r="H377" s="5">
        <v>7</v>
      </c>
      <c r="I377" s="5">
        <v>8</v>
      </c>
      <c r="J377" s="5">
        <v>9</v>
      </c>
      <c r="K377" s="5">
        <v>10</v>
      </c>
      <c r="L377" s="5">
        <v>11</v>
      </c>
      <c r="M377" s="5">
        <v>12</v>
      </c>
      <c r="N377" s="5">
        <v>13</v>
      </c>
      <c r="O377" s="5">
        <v>14</v>
      </c>
      <c r="P377" s="5">
        <v>15</v>
      </c>
      <c r="Q377" s="5">
        <v>16</v>
      </c>
      <c r="R377" s="5">
        <v>17</v>
      </c>
      <c r="S377" s="5">
        <v>18</v>
      </c>
      <c r="T377" s="5">
        <v>19</v>
      </c>
      <c r="U377" s="5">
        <v>20</v>
      </c>
      <c r="V377" s="5">
        <v>21</v>
      </c>
      <c r="W377" s="5">
        <v>22</v>
      </c>
      <c r="X377" s="5">
        <v>23</v>
      </c>
      <c r="Y377" s="5">
        <v>24</v>
      </c>
      <c r="Z377" s="66">
        <v>25</v>
      </c>
    </row>
    <row r="378" spans="1:52" ht="28.8" x14ac:dyDescent="0.3">
      <c r="A378" s="26" t="s">
        <v>269</v>
      </c>
      <c r="B378" s="5">
        <v>0</v>
      </c>
      <c r="C378" s="6">
        <v>0</v>
      </c>
      <c r="D378" s="6">
        <v>0</v>
      </c>
      <c r="E378" s="6">
        <v>0</v>
      </c>
      <c r="F378" s="6">
        <v>0</v>
      </c>
      <c r="G378" s="6">
        <v>0</v>
      </c>
      <c r="H378" s="6">
        <v>0</v>
      </c>
      <c r="I378" s="6">
        <v>0</v>
      </c>
      <c r="J378" s="6">
        <v>0</v>
      </c>
      <c r="K378" s="6">
        <v>128.11809890231288</v>
      </c>
      <c r="L378" s="6">
        <v>0</v>
      </c>
      <c r="M378" s="6">
        <v>0</v>
      </c>
      <c r="N378" s="6">
        <v>0</v>
      </c>
      <c r="O378" s="6">
        <v>0</v>
      </c>
      <c r="P378" s="6">
        <v>3.8643551172959292</v>
      </c>
      <c r="Q378" s="6">
        <v>10.908185312413933</v>
      </c>
      <c r="R378" s="6">
        <v>5.0400380997052112</v>
      </c>
      <c r="S378" s="6">
        <v>21.382817796174734</v>
      </c>
      <c r="T378" s="6">
        <v>0</v>
      </c>
      <c r="U378" s="6">
        <v>2.1170083681463898E-2</v>
      </c>
      <c r="V378" s="6">
        <v>0</v>
      </c>
      <c r="W378" s="6">
        <v>0</v>
      </c>
      <c r="X378" s="6">
        <v>0</v>
      </c>
      <c r="Y378" s="6">
        <v>0</v>
      </c>
      <c r="Z378" s="45">
        <v>0</v>
      </c>
    </row>
    <row r="379" spans="1:52" ht="43.2" x14ac:dyDescent="0.3">
      <c r="A379" s="27" t="s">
        <v>270</v>
      </c>
      <c r="B379" s="7">
        <v>2.2984430946271601</v>
      </c>
      <c r="C379" s="8">
        <v>0</v>
      </c>
      <c r="D379" s="8">
        <v>0</v>
      </c>
      <c r="E379" s="8">
        <v>0</v>
      </c>
      <c r="F379" s="8">
        <v>0</v>
      </c>
      <c r="G379" s="8">
        <v>0</v>
      </c>
      <c r="H379" s="8">
        <v>0</v>
      </c>
      <c r="I379" s="8">
        <v>0</v>
      </c>
      <c r="J379" s="8">
        <v>0</v>
      </c>
      <c r="K379" s="8">
        <v>0</v>
      </c>
      <c r="L379" s="8">
        <v>0</v>
      </c>
      <c r="M379" s="8">
        <v>0</v>
      </c>
      <c r="N379" s="8">
        <v>0</v>
      </c>
      <c r="O379" s="8">
        <v>0</v>
      </c>
      <c r="P379" s="8">
        <v>0</v>
      </c>
      <c r="Q379" s="8">
        <v>0</v>
      </c>
      <c r="R379" s="8">
        <v>0</v>
      </c>
      <c r="S379" s="8">
        <v>0</v>
      </c>
      <c r="T379" s="8">
        <v>0</v>
      </c>
      <c r="U379" s="8">
        <v>0</v>
      </c>
      <c r="V379" s="8">
        <v>0</v>
      </c>
      <c r="W379" s="8">
        <v>0</v>
      </c>
      <c r="X379" s="8">
        <v>0</v>
      </c>
      <c r="Y379" s="8">
        <v>0</v>
      </c>
      <c r="Z379" s="10">
        <v>0</v>
      </c>
      <c r="AB379" s="17"/>
      <c r="AC379" s="17"/>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17"/>
    </row>
    <row r="380" spans="1:52" x14ac:dyDescent="0.3">
      <c r="A380" s="27" t="s">
        <v>271</v>
      </c>
      <c r="B380" s="7">
        <v>0</v>
      </c>
      <c r="C380" s="8">
        <v>3.8429109751661001</v>
      </c>
      <c r="D380" s="8">
        <v>0</v>
      </c>
      <c r="E380" s="8">
        <v>0</v>
      </c>
      <c r="F380" s="8">
        <v>0</v>
      </c>
      <c r="G380" s="8">
        <v>0</v>
      </c>
      <c r="H380" s="8">
        <v>0</v>
      </c>
      <c r="I380" s="8">
        <v>0</v>
      </c>
      <c r="J380" s="8">
        <v>0</v>
      </c>
      <c r="K380" s="8">
        <v>0</v>
      </c>
      <c r="L380" s="8">
        <v>0</v>
      </c>
      <c r="M380" s="8">
        <v>0</v>
      </c>
      <c r="N380" s="8">
        <v>0</v>
      </c>
      <c r="O380" s="8">
        <v>0</v>
      </c>
      <c r="P380" s="8">
        <v>0</v>
      </c>
      <c r="Q380" s="8">
        <v>0</v>
      </c>
      <c r="R380" s="8">
        <v>0</v>
      </c>
      <c r="S380" s="8">
        <v>0</v>
      </c>
      <c r="T380" s="8">
        <v>0</v>
      </c>
      <c r="U380" s="8">
        <v>0</v>
      </c>
      <c r="V380" s="8">
        <v>0</v>
      </c>
      <c r="W380" s="8">
        <v>0</v>
      </c>
      <c r="X380" s="8">
        <v>0</v>
      </c>
      <c r="Y380" s="8">
        <v>0</v>
      </c>
      <c r="Z380" s="10">
        <v>0</v>
      </c>
      <c r="AB380" s="17"/>
      <c r="AC380" s="17"/>
      <c r="AD380" s="17"/>
      <c r="AE380" s="17"/>
      <c r="AF380" s="17"/>
      <c r="AG380" s="17"/>
      <c r="AH380" s="17"/>
      <c r="AI380" s="17"/>
      <c r="AJ380" s="17"/>
      <c r="AK380" s="17"/>
      <c r="AL380" s="17"/>
      <c r="AM380" s="17"/>
      <c r="AN380" s="17"/>
      <c r="AO380" s="17"/>
      <c r="AP380" s="17"/>
      <c r="AQ380" s="17"/>
      <c r="AR380" s="17"/>
      <c r="AS380" s="17"/>
      <c r="AT380" s="17"/>
      <c r="AU380" s="17"/>
      <c r="AV380" s="17"/>
      <c r="AW380" s="17"/>
      <c r="AX380" s="17"/>
      <c r="AY380" s="17"/>
      <c r="AZ380" s="17"/>
    </row>
    <row r="381" spans="1:52" ht="15" thickBot="1" x14ac:dyDescent="0.35">
      <c r="A381" s="47" t="s">
        <v>272</v>
      </c>
      <c r="B381" s="44">
        <v>0.43419092797777498</v>
      </c>
      <c r="C381" s="38">
        <v>0.34171239158872002</v>
      </c>
      <c r="D381" s="38">
        <v>0</v>
      </c>
      <c r="E381" s="38">
        <v>0</v>
      </c>
      <c r="F381" s="38">
        <v>0</v>
      </c>
      <c r="G381" s="38">
        <v>0</v>
      </c>
      <c r="H381" s="38">
        <v>0</v>
      </c>
      <c r="I381" s="38">
        <v>0</v>
      </c>
      <c r="J381" s="38">
        <v>0</v>
      </c>
      <c r="K381" s="38">
        <v>0</v>
      </c>
      <c r="L381" s="38">
        <v>0</v>
      </c>
      <c r="M381" s="38">
        <v>0</v>
      </c>
      <c r="N381" s="38">
        <v>0</v>
      </c>
      <c r="O381" s="38">
        <v>0</v>
      </c>
      <c r="P381" s="38">
        <v>0</v>
      </c>
      <c r="Q381" s="38">
        <v>0</v>
      </c>
      <c r="R381" s="38">
        <v>0</v>
      </c>
      <c r="S381" s="38">
        <v>0</v>
      </c>
      <c r="T381" s="38">
        <v>0</v>
      </c>
      <c r="U381" s="38">
        <v>0</v>
      </c>
      <c r="V381" s="38">
        <v>0</v>
      </c>
      <c r="W381" s="38">
        <v>0</v>
      </c>
      <c r="X381" s="38">
        <v>0</v>
      </c>
      <c r="Y381" s="38">
        <v>0</v>
      </c>
      <c r="Z381" s="39">
        <v>0</v>
      </c>
      <c r="AB381" s="17"/>
      <c r="AC381" s="17"/>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17"/>
    </row>
    <row r="383" spans="1:52" ht="15" thickBot="1" x14ac:dyDescent="0.35">
      <c r="A383" s="1" t="s">
        <v>34</v>
      </c>
      <c r="B383" s="84"/>
    </row>
    <row r="384" spans="1:52" ht="29.4" thickBot="1" x14ac:dyDescent="0.35">
      <c r="A384" s="2"/>
      <c r="B384" s="55" t="s">
        <v>30</v>
      </c>
      <c r="C384" s="55" t="s">
        <v>300</v>
      </c>
      <c r="D384" s="55" t="s">
        <v>301</v>
      </c>
      <c r="E384" s="55" t="s">
        <v>302</v>
      </c>
      <c r="F384" s="55" t="s">
        <v>303</v>
      </c>
      <c r="G384" s="55" t="s">
        <v>304</v>
      </c>
      <c r="H384" s="55" t="s">
        <v>305</v>
      </c>
      <c r="I384" s="55" t="s">
        <v>289</v>
      </c>
      <c r="J384" s="81" t="s">
        <v>29</v>
      </c>
    </row>
    <row r="385" spans="1:10" x14ac:dyDescent="0.3">
      <c r="A385" s="85" t="s">
        <v>279</v>
      </c>
      <c r="B385" s="87">
        <v>1</v>
      </c>
      <c r="C385" s="50">
        <v>1</v>
      </c>
      <c r="D385" s="50">
        <v>1</v>
      </c>
      <c r="E385" s="50">
        <v>1</v>
      </c>
      <c r="F385" s="50">
        <v>1</v>
      </c>
      <c r="G385" s="50">
        <v>1</v>
      </c>
      <c r="H385" s="50">
        <v>1</v>
      </c>
      <c r="I385" s="50">
        <v>1</v>
      </c>
      <c r="J385" s="162">
        <v>1</v>
      </c>
    </row>
    <row r="386" spans="1:10" x14ac:dyDescent="0.3">
      <c r="A386" s="88" t="s">
        <v>277</v>
      </c>
      <c r="B386" s="89">
        <v>9</v>
      </c>
      <c r="C386" s="48">
        <v>9</v>
      </c>
      <c r="D386" s="48">
        <v>9</v>
      </c>
      <c r="E386" s="48">
        <v>8</v>
      </c>
      <c r="F386" s="48">
        <v>9</v>
      </c>
      <c r="G386" s="48">
        <v>8</v>
      </c>
      <c r="H386" s="48">
        <v>7</v>
      </c>
      <c r="I386" s="48">
        <v>9</v>
      </c>
      <c r="J386" s="90">
        <v>1</v>
      </c>
    </row>
    <row r="387" spans="1:10" x14ac:dyDescent="0.3">
      <c r="A387" s="88" t="s">
        <v>278</v>
      </c>
      <c r="B387" s="89">
        <v>9</v>
      </c>
      <c r="C387" s="48">
        <v>9</v>
      </c>
      <c r="D387" s="48">
        <v>9</v>
      </c>
      <c r="E387" s="48">
        <v>9</v>
      </c>
      <c r="F387" s="48">
        <v>9</v>
      </c>
      <c r="G387" s="48">
        <v>8</v>
      </c>
      <c r="H387" s="48">
        <v>7</v>
      </c>
      <c r="I387" s="48">
        <v>9</v>
      </c>
      <c r="J387" s="90">
        <v>1</v>
      </c>
    </row>
    <row r="388" spans="1:10" x14ac:dyDescent="0.3">
      <c r="A388" s="88" t="s">
        <v>280</v>
      </c>
      <c r="B388" s="89">
        <v>1</v>
      </c>
      <c r="C388" s="48">
        <v>1</v>
      </c>
      <c r="D388" s="48">
        <v>1</v>
      </c>
      <c r="E388" s="48">
        <v>1</v>
      </c>
      <c r="F388" s="48">
        <v>1</v>
      </c>
      <c r="G388" s="48">
        <v>1</v>
      </c>
      <c r="H388" s="48">
        <v>1</v>
      </c>
      <c r="I388" s="48">
        <v>1</v>
      </c>
      <c r="J388" s="90">
        <v>1</v>
      </c>
    </row>
    <row r="389" spans="1:10" ht="15" thickBot="1" x14ac:dyDescent="0.35">
      <c r="A389" s="91" t="s">
        <v>281</v>
      </c>
      <c r="B389" s="93">
        <v>0</v>
      </c>
      <c r="C389" s="94">
        <v>0</v>
      </c>
      <c r="D389" s="94">
        <v>0</v>
      </c>
      <c r="E389" s="94">
        <v>0</v>
      </c>
      <c r="F389" s="94">
        <v>0</v>
      </c>
      <c r="G389" s="94">
        <v>0</v>
      </c>
      <c r="H389" s="94">
        <v>0</v>
      </c>
      <c r="I389" s="94">
        <v>0</v>
      </c>
      <c r="J389" s="95">
        <v>0</v>
      </c>
    </row>
    <row r="391" spans="1:10" ht="15" thickBot="1" x14ac:dyDescent="0.35">
      <c r="A391" s="15" t="s">
        <v>78</v>
      </c>
    </row>
    <row r="392" spans="1:10" ht="15" thickBot="1" x14ac:dyDescent="0.35">
      <c r="A392" s="2"/>
      <c r="B392" s="163" t="s">
        <v>30</v>
      </c>
      <c r="C392" s="164" t="s">
        <v>300</v>
      </c>
      <c r="D392" s="164" t="s">
        <v>301</v>
      </c>
      <c r="E392" s="164" t="s">
        <v>302</v>
      </c>
      <c r="F392" s="164" t="s">
        <v>303</v>
      </c>
      <c r="G392" s="164" t="s">
        <v>304</v>
      </c>
      <c r="H392" s="164" t="s">
        <v>305</v>
      </c>
      <c r="I392" s="164" t="s">
        <v>289</v>
      </c>
      <c r="J392" s="98" t="s">
        <v>29</v>
      </c>
    </row>
    <row r="393" spans="1:10" x14ac:dyDescent="0.3">
      <c r="A393" s="85" t="s">
        <v>283</v>
      </c>
      <c r="B393" s="154">
        <v>10</v>
      </c>
      <c r="C393" s="96">
        <v>10</v>
      </c>
      <c r="D393" s="86">
        <v>10</v>
      </c>
      <c r="E393" s="103">
        <v>10</v>
      </c>
      <c r="F393" s="101">
        <v>10</v>
      </c>
      <c r="G393" s="96">
        <v>11</v>
      </c>
      <c r="H393" s="96">
        <v>10</v>
      </c>
      <c r="I393" s="96">
        <v>10</v>
      </c>
      <c r="J393" s="99">
        <v>10</v>
      </c>
    </row>
    <row r="394" spans="1:10" ht="15" thickBot="1" x14ac:dyDescent="0.35">
      <c r="A394" s="91" t="s">
        <v>282</v>
      </c>
      <c r="B394" s="93">
        <v>-1</v>
      </c>
      <c r="C394" s="94">
        <v>-1</v>
      </c>
      <c r="D394" s="92">
        <v>-1</v>
      </c>
      <c r="E394" s="104">
        <v>-1</v>
      </c>
      <c r="F394" s="102">
        <v>-1</v>
      </c>
      <c r="G394" s="94">
        <v>2220000</v>
      </c>
      <c r="H394" s="94">
        <v>-1</v>
      </c>
      <c r="I394" s="94">
        <v>-1</v>
      </c>
      <c r="J394" s="95">
        <v>-1</v>
      </c>
    </row>
    <row r="395" spans="1:10" ht="15" thickBot="1" x14ac:dyDescent="0.35"/>
    <row r="396" spans="1:10" ht="15" thickBot="1" x14ac:dyDescent="0.35">
      <c r="A396" s="1" t="s">
        <v>284</v>
      </c>
      <c r="B396" s="81">
        <v>7.0000000000000001E-3</v>
      </c>
    </row>
    <row r="397" spans="1:10" ht="15" thickBot="1" x14ac:dyDescent="0.35">
      <c r="A397" s="1" t="s">
        <v>86</v>
      </c>
      <c r="B397" s="81">
        <v>1.2999999999999999E-2</v>
      </c>
    </row>
    <row r="400" spans="1:10" ht="15" thickBot="1" x14ac:dyDescent="0.35">
      <c r="A400" s="1" t="s">
        <v>285</v>
      </c>
    </row>
    <row r="401" spans="1:26" ht="14.4" customHeight="1" thickBot="1" x14ac:dyDescent="0.35">
      <c r="A401" s="97" t="s">
        <v>62</v>
      </c>
      <c r="B401" s="98">
        <v>750000</v>
      </c>
    </row>
    <row r="402" spans="1:26" ht="28.8" x14ac:dyDescent="0.3">
      <c r="A402" s="26" t="s">
        <v>286</v>
      </c>
      <c r="B402" s="99">
        <v>215000</v>
      </c>
    </row>
    <row r="403" spans="1:26" x14ac:dyDescent="0.3">
      <c r="A403" s="88" t="s">
        <v>287</v>
      </c>
      <c r="B403" s="90">
        <v>3640000</v>
      </c>
      <c r="C403" s="100"/>
    </row>
    <row r="404" spans="1:26" ht="15" thickBot="1" x14ac:dyDescent="0.35">
      <c r="A404" s="91" t="s">
        <v>63</v>
      </c>
      <c r="B404" s="95">
        <f>B402+B403</f>
        <v>3855000</v>
      </c>
    </row>
    <row r="406" spans="1:26" ht="15" thickBot="1" x14ac:dyDescent="0.35">
      <c r="A406" s="1" t="s">
        <v>60</v>
      </c>
    </row>
    <row r="407" spans="1:26" ht="29.4" thickBot="1" x14ac:dyDescent="0.35">
      <c r="A407" s="31" t="s">
        <v>61</v>
      </c>
      <c r="B407" s="81">
        <v>2.3333333333333335E-3</v>
      </c>
    </row>
    <row r="410" spans="1:26" ht="31.2" x14ac:dyDescent="0.6">
      <c r="A410" s="16" t="s">
        <v>291</v>
      </c>
    </row>
    <row r="411" spans="1:26" ht="15" thickBot="1" x14ac:dyDescent="0.35">
      <c r="A411" s="1" t="s">
        <v>288</v>
      </c>
    </row>
    <row r="412" spans="1:26" ht="15" thickBot="1" x14ac:dyDescent="0.35">
      <c r="B412" s="163">
        <v>1</v>
      </c>
      <c r="C412" s="163">
        <v>2</v>
      </c>
      <c r="D412" s="163">
        <v>3</v>
      </c>
      <c r="E412" s="163">
        <v>4</v>
      </c>
      <c r="F412" s="163">
        <v>5</v>
      </c>
      <c r="G412" s="163">
        <v>6</v>
      </c>
      <c r="H412" s="163">
        <v>7</v>
      </c>
      <c r="I412" s="163">
        <v>8</v>
      </c>
      <c r="J412" s="163">
        <v>9</v>
      </c>
      <c r="K412" s="163">
        <v>10</v>
      </c>
      <c r="L412" s="163">
        <v>11</v>
      </c>
      <c r="M412" s="163">
        <v>12</v>
      </c>
      <c r="N412" s="163">
        <v>13</v>
      </c>
      <c r="O412" s="163">
        <v>14</v>
      </c>
      <c r="P412" s="163">
        <v>15</v>
      </c>
      <c r="Q412" s="163">
        <v>16</v>
      </c>
      <c r="R412" s="163">
        <v>17</v>
      </c>
      <c r="S412" s="163">
        <v>18</v>
      </c>
      <c r="T412" s="163">
        <v>19</v>
      </c>
      <c r="U412" s="163">
        <v>20</v>
      </c>
      <c r="V412" s="163">
        <v>21</v>
      </c>
      <c r="W412" s="163">
        <v>22</v>
      </c>
      <c r="X412" s="163">
        <v>23</v>
      </c>
      <c r="Y412" s="163">
        <v>24</v>
      </c>
      <c r="Z412" s="168">
        <v>25</v>
      </c>
    </row>
    <row r="413" spans="1:26" ht="14.4" customHeight="1" x14ac:dyDescent="0.3">
      <c r="A413" s="26" t="s">
        <v>292</v>
      </c>
      <c r="B413" s="105">
        <v>9.2532882329322229E-6</v>
      </c>
      <c r="C413" s="6">
        <v>0</v>
      </c>
      <c r="D413" s="6">
        <v>0</v>
      </c>
      <c r="E413" s="6">
        <v>0</v>
      </c>
      <c r="F413" s="6">
        <v>1.0958727246936731E-4</v>
      </c>
      <c r="G413" s="6">
        <v>0</v>
      </c>
      <c r="H413" s="6">
        <v>0</v>
      </c>
      <c r="I413" s="6">
        <v>0</v>
      </c>
      <c r="J413" s="6">
        <v>0</v>
      </c>
      <c r="K413" s="6">
        <v>0</v>
      </c>
      <c r="L413" s="6">
        <v>0</v>
      </c>
      <c r="M413" s="6">
        <v>0</v>
      </c>
      <c r="N413" s="6">
        <v>0</v>
      </c>
      <c r="O413" s="6">
        <v>0</v>
      </c>
      <c r="P413" s="6">
        <v>0</v>
      </c>
      <c r="Q413" s="6">
        <v>0</v>
      </c>
      <c r="R413" s="6">
        <v>0</v>
      </c>
      <c r="S413" s="6">
        <v>0</v>
      </c>
      <c r="T413" s="6">
        <v>0</v>
      </c>
      <c r="U413" s="6">
        <v>0</v>
      </c>
      <c r="V413" s="6">
        <v>0</v>
      </c>
      <c r="W413" s="6">
        <v>0</v>
      </c>
      <c r="X413" s="6">
        <v>0</v>
      </c>
      <c r="Y413" s="6">
        <v>1.6093470390009489E-5</v>
      </c>
      <c r="Z413" s="45">
        <v>5.1614371057616756E-7</v>
      </c>
    </row>
    <row r="414" spans="1:26" x14ac:dyDescent="0.3">
      <c r="A414" s="27" t="s">
        <v>293</v>
      </c>
      <c r="B414" s="36">
        <v>1.484894913404418E-5</v>
      </c>
      <c r="C414" s="8">
        <v>0</v>
      </c>
      <c r="D414" s="8">
        <v>2.3906360046584169E-5</v>
      </c>
      <c r="E414" s="8">
        <v>0</v>
      </c>
      <c r="F414" s="8">
        <v>0</v>
      </c>
      <c r="G414" s="8">
        <v>0</v>
      </c>
      <c r="H414" s="8">
        <v>0</v>
      </c>
      <c r="I414" s="8">
        <v>2.3906360046584169E-5</v>
      </c>
      <c r="J414" s="8">
        <v>0</v>
      </c>
      <c r="K414" s="8">
        <v>9.1863669150473893E-5</v>
      </c>
      <c r="L414" s="8">
        <v>0</v>
      </c>
      <c r="M414" s="8">
        <v>0</v>
      </c>
      <c r="N414" s="8">
        <v>0</v>
      </c>
      <c r="O414" s="8">
        <v>0</v>
      </c>
      <c r="P414" s="8">
        <v>0</v>
      </c>
      <c r="Q414" s="8">
        <v>0</v>
      </c>
      <c r="R414" s="8">
        <v>0</v>
      </c>
      <c r="S414" s="8">
        <v>0</v>
      </c>
      <c r="T414" s="8">
        <v>0</v>
      </c>
      <c r="U414" s="8">
        <v>0</v>
      </c>
      <c r="V414" s="8">
        <v>0</v>
      </c>
      <c r="W414" s="8">
        <v>0</v>
      </c>
      <c r="X414" s="8">
        <v>0</v>
      </c>
      <c r="Y414" s="8">
        <v>7.0699248233416659E-5</v>
      </c>
      <c r="Z414" s="10">
        <v>1.6256291738389055E-4</v>
      </c>
    </row>
    <row r="415" spans="1:26" x14ac:dyDescent="0.3">
      <c r="A415" s="27" t="s">
        <v>294</v>
      </c>
      <c r="B415" s="36">
        <v>8.0929491125146808E-7</v>
      </c>
      <c r="C415" s="8">
        <v>0</v>
      </c>
      <c r="D415" s="8">
        <v>1.9385681502325283E-7</v>
      </c>
      <c r="E415" s="8">
        <v>0</v>
      </c>
      <c r="F415" s="8">
        <v>0</v>
      </c>
      <c r="G415" s="8">
        <v>0</v>
      </c>
      <c r="H415" s="8">
        <v>0</v>
      </c>
      <c r="I415" s="8">
        <v>0</v>
      </c>
      <c r="J415" s="8">
        <v>0</v>
      </c>
      <c r="K415" s="8">
        <v>0</v>
      </c>
      <c r="L415" s="8">
        <v>0</v>
      </c>
      <c r="M415" s="8">
        <v>0</v>
      </c>
      <c r="N415" s="8">
        <v>0</v>
      </c>
      <c r="O415" s="8">
        <v>0</v>
      </c>
      <c r="P415" s="8">
        <v>0</v>
      </c>
      <c r="Q415" s="8">
        <v>0</v>
      </c>
      <c r="R415" s="8">
        <v>0</v>
      </c>
      <c r="S415" s="8">
        <v>0</v>
      </c>
      <c r="T415" s="8">
        <v>0</v>
      </c>
      <c r="U415" s="8">
        <v>0</v>
      </c>
      <c r="V415" s="8">
        <v>0</v>
      </c>
      <c r="W415" s="8">
        <v>0</v>
      </c>
      <c r="X415" s="8">
        <v>0</v>
      </c>
      <c r="Y415" s="8">
        <v>0</v>
      </c>
      <c r="Z415" s="10">
        <v>0</v>
      </c>
    </row>
    <row r="416" spans="1:26" ht="14.4" customHeight="1" x14ac:dyDescent="0.3">
      <c r="A416" s="27" t="s">
        <v>295</v>
      </c>
      <c r="B416" s="36">
        <v>0</v>
      </c>
      <c r="C416" s="8">
        <v>0</v>
      </c>
      <c r="D416" s="8">
        <v>0</v>
      </c>
      <c r="E416" s="8">
        <v>0</v>
      </c>
      <c r="F416" s="8">
        <v>0</v>
      </c>
      <c r="G416" s="8">
        <v>0</v>
      </c>
      <c r="H416" s="8">
        <v>0</v>
      </c>
      <c r="I416" s="8">
        <v>0</v>
      </c>
      <c r="J416" s="8">
        <v>0</v>
      </c>
      <c r="K416" s="8">
        <v>0</v>
      </c>
      <c r="L416" s="8">
        <v>0</v>
      </c>
      <c r="M416" s="8">
        <v>4.2237398617842288E-3</v>
      </c>
      <c r="N416" s="8">
        <v>4.2237398617842288E-3</v>
      </c>
      <c r="O416" s="8">
        <v>4.2237398617842288E-3</v>
      </c>
      <c r="P416" s="8">
        <v>4.2237398617842288E-3</v>
      </c>
      <c r="Q416" s="8">
        <v>4.2237398617842288E-3</v>
      </c>
      <c r="R416" s="8">
        <v>4.2237398617842288E-3</v>
      </c>
      <c r="S416" s="8">
        <v>4.2237398617842288E-3</v>
      </c>
      <c r="T416" s="8">
        <v>4.2237398617842288E-3</v>
      </c>
      <c r="U416" s="8">
        <v>4.2237398617842288E-3</v>
      </c>
      <c r="V416" s="8">
        <v>0</v>
      </c>
      <c r="W416" s="8">
        <v>0</v>
      </c>
      <c r="X416" s="8">
        <v>0</v>
      </c>
      <c r="Y416" s="8">
        <v>0</v>
      </c>
      <c r="Z416" s="10">
        <v>0</v>
      </c>
    </row>
    <row r="417" spans="1:34" x14ac:dyDescent="0.3">
      <c r="A417" s="27" t="s">
        <v>296</v>
      </c>
      <c r="B417" s="36">
        <v>0</v>
      </c>
      <c r="C417" s="8">
        <v>0</v>
      </c>
      <c r="D417" s="8">
        <v>0</v>
      </c>
      <c r="E417" s="8">
        <v>0</v>
      </c>
      <c r="F417" s="8">
        <v>0</v>
      </c>
      <c r="G417" s="8">
        <v>0</v>
      </c>
      <c r="H417" s="8">
        <v>0</v>
      </c>
      <c r="I417" s="8">
        <v>0</v>
      </c>
      <c r="J417" s="8">
        <v>0</v>
      </c>
      <c r="K417" s="8">
        <v>0</v>
      </c>
      <c r="L417" s="8">
        <v>3.5717969111722106E-2</v>
      </c>
      <c r="M417" s="8">
        <v>0</v>
      </c>
      <c r="N417" s="8">
        <v>0</v>
      </c>
      <c r="O417" s="8">
        <v>0</v>
      </c>
      <c r="P417" s="8">
        <v>0</v>
      </c>
      <c r="Q417" s="8">
        <v>0</v>
      </c>
      <c r="R417" s="8">
        <v>0</v>
      </c>
      <c r="S417" s="8">
        <v>0</v>
      </c>
      <c r="T417" s="8">
        <v>0</v>
      </c>
      <c r="U417" s="8">
        <v>0</v>
      </c>
      <c r="V417" s="8">
        <v>0</v>
      </c>
      <c r="W417" s="8">
        <v>0</v>
      </c>
      <c r="X417" s="8">
        <v>0</v>
      </c>
      <c r="Y417" s="8">
        <v>0</v>
      </c>
      <c r="Z417" s="10">
        <v>0</v>
      </c>
    </row>
    <row r="418" spans="1:34" ht="15" thickBot="1" x14ac:dyDescent="0.35">
      <c r="A418" s="47" t="s">
        <v>297</v>
      </c>
      <c r="B418" s="37">
        <v>0</v>
      </c>
      <c r="C418" s="38">
        <v>0</v>
      </c>
      <c r="D418" s="38">
        <v>0</v>
      </c>
      <c r="E418" s="38">
        <v>6.907898936819799E-4</v>
      </c>
      <c r="F418" s="38">
        <v>6.907898936819799E-4</v>
      </c>
      <c r="G418" s="38">
        <v>0</v>
      </c>
      <c r="H418" s="38">
        <v>0</v>
      </c>
      <c r="I418" s="38">
        <v>0</v>
      </c>
      <c r="J418" s="38">
        <v>0</v>
      </c>
      <c r="K418" s="38">
        <v>0</v>
      </c>
      <c r="L418" s="38">
        <v>0</v>
      </c>
      <c r="M418" s="38">
        <v>0</v>
      </c>
      <c r="N418" s="38">
        <v>0</v>
      </c>
      <c r="O418" s="38">
        <v>0</v>
      </c>
      <c r="P418" s="38">
        <v>0</v>
      </c>
      <c r="Q418" s="38">
        <v>0</v>
      </c>
      <c r="R418" s="38">
        <v>0</v>
      </c>
      <c r="S418" s="38">
        <v>0</v>
      </c>
      <c r="T418" s="38">
        <v>0</v>
      </c>
      <c r="U418" s="38">
        <v>0</v>
      </c>
      <c r="V418" s="38">
        <v>0</v>
      </c>
      <c r="W418" s="38">
        <v>0</v>
      </c>
      <c r="X418" s="38">
        <v>0</v>
      </c>
      <c r="Y418" s="38">
        <v>6.907898936819799E-4</v>
      </c>
      <c r="Z418" s="39">
        <v>0</v>
      </c>
    </row>
    <row r="420" spans="1:34" ht="15" thickBot="1" x14ac:dyDescent="0.35">
      <c r="A420" s="1" t="s">
        <v>306</v>
      </c>
      <c r="O420" s="17"/>
    </row>
    <row r="421" spans="1:34" ht="15" thickBot="1" x14ac:dyDescent="0.35">
      <c r="B421" s="68" t="s">
        <v>33</v>
      </c>
    </row>
    <row r="422" spans="1:34" x14ac:dyDescent="0.3">
      <c r="A422" s="66" t="s">
        <v>266</v>
      </c>
      <c r="B422" s="66">
        <v>7.4712024999999987E-2</v>
      </c>
    </row>
    <row r="423" spans="1:34" ht="28.8" x14ac:dyDescent="0.3">
      <c r="A423" s="58" t="s">
        <v>269</v>
      </c>
      <c r="B423" s="58">
        <v>4.4801524999999995E-2</v>
      </c>
    </row>
    <row r="424" spans="1:34" ht="43.2" x14ac:dyDescent="0.3">
      <c r="A424" s="58" t="s">
        <v>270</v>
      </c>
      <c r="B424" s="58">
        <v>2.5544548780438998E-2</v>
      </c>
      <c r="C424" s="13"/>
    </row>
    <row r="425" spans="1:34" x14ac:dyDescent="0.3">
      <c r="A425" s="58" t="s">
        <v>307</v>
      </c>
      <c r="B425" s="58">
        <v>2.5515771578947369E-2</v>
      </c>
    </row>
    <row r="426" spans="1:34" ht="15" thickBot="1" x14ac:dyDescent="0.35">
      <c r="A426" s="59" t="s">
        <v>272</v>
      </c>
      <c r="B426" s="59">
        <v>2.5544548780438998E-2</v>
      </c>
    </row>
    <row r="428" spans="1:34" ht="15" thickBot="1" x14ac:dyDescent="0.35">
      <c r="A428" s="1" t="s">
        <v>308</v>
      </c>
      <c r="G428" s="3"/>
    </row>
    <row r="429" spans="1:34" x14ac:dyDescent="0.3">
      <c r="A429" s="111" t="s">
        <v>290</v>
      </c>
      <c r="B429" s="106">
        <v>72.473831088825705</v>
      </c>
    </row>
    <row r="430" spans="1:34" x14ac:dyDescent="0.3">
      <c r="A430" s="109" t="s">
        <v>309</v>
      </c>
      <c r="B430" s="107">
        <v>56.750473378463376</v>
      </c>
    </row>
    <row r="431" spans="1:34" ht="15" thickBot="1" x14ac:dyDescent="0.35">
      <c r="A431" s="110" t="s">
        <v>310</v>
      </c>
      <c r="B431" s="108">
        <v>93.895846590687725</v>
      </c>
      <c r="AB431" s="165"/>
      <c r="AC431" s="165"/>
      <c r="AD431" s="165"/>
      <c r="AE431" s="165"/>
      <c r="AF431" s="165"/>
      <c r="AG431" s="165"/>
      <c r="AH431" s="165"/>
    </row>
    <row r="432" spans="1:34" x14ac:dyDescent="0.3">
      <c r="AB432" s="165"/>
      <c r="AC432" s="165"/>
      <c r="AD432" s="165"/>
      <c r="AE432" s="165"/>
      <c r="AF432" s="165"/>
      <c r="AG432" s="165"/>
      <c r="AH432" s="165"/>
    </row>
    <row r="433" spans="1:34" x14ac:dyDescent="0.3">
      <c r="AB433" s="165"/>
      <c r="AC433" s="165"/>
      <c r="AD433" s="165"/>
      <c r="AE433" s="165"/>
      <c r="AF433" s="165"/>
      <c r="AG433" s="165"/>
      <c r="AH433" s="165"/>
    </row>
    <row r="434" spans="1:34" ht="15" thickBot="1" x14ac:dyDescent="0.35">
      <c r="A434" s="1" t="s">
        <v>298</v>
      </c>
      <c r="AB434" s="165"/>
      <c r="AC434" s="165"/>
      <c r="AD434" s="165"/>
      <c r="AE434" s="165"/>
      <c r="AF434" s="165"/>
      <c r="AG434" s="165"/>
      <c r="AH434" s="165"/>
    </row>
    <row r="435" spans="1:34" ht="15" thickBot="1" x14ac:dyDescent="0.35">
      <c r="B435" s="55">
        <v>1</v>
      </c>
      <c r="C435" s="56">
        <v>2</v>
      </c>
      <c r="D435" s="56">
        <v>3</v>
      </c>
      <c r="E435" s="56">
        <v>4</v>
      </c>
      <c r="F435" s="56">
        <v>5</v>
      </c>
      <c r="G435" s="56">
        <v>6</v>
      </c>
      <c r="H435" s="56">
        <v>7</v>
      </c>
      <c r="I435" s="56">
        <v>8</v>
      </c>
      <c r="J435" s="56">
        <v>9</v>
      </c>
      <c r="K435" s="56">
        <v>10</v>
      </c>
      <c r="L435" s="56">
        <v>11</v>
      </c>
      <c r="M435" s="56">
        <v>12</v>
      </c>
      <c r="N435" s="56">
        <v>13</v>
      </c>
      <c r="O435" s="56">
        <v>14</v>
      </c>
      <c r="P435" s="56">
        <v>15</v>
      </c>
      <c r="Q435" s="56">
        <v>16</v>
      </c>
      <c r="R435" s="56">
        <v>17</v>
      </c>
      <c r="S435" s="56">
        <v>18</v>
      </c>
      <c r="T435" s="56">
        <v>19</v>
      </c>
      <c r="U435" s="56">
        <v>20</v>
      </c>
      <c r="V435" s="56">
        <v>21</v>
      </c>
      <c r="W435" s="56">
        <v>22</v>
      </c>
      <c r="X435" s="56">
        <v>23</v>
      </c>
      <c r="Y435" s="56">
        <v>24</v>
      </c>
      <c r="Z435" s="57">
        <v>25</v>
      </c>
      <c r="AB435" s="165"/>
      <c r="AC435" s="166"/>
      <c r="AD435" s="166"/>
      <c r="AE435" s="166"/>
      <c r="AF435" s="166"/>
      <c r="AG435" s="166"/>
      <c r="AH435" s="165"/>
    </row>
    <row r="436" spans="1:34" x14ac:dyDescent="0.3">
      <c r="A436" s="26" t="s">
        <v>90</v>
      </c>
      <c r="B436" s="5">
        <v>0</v>
      </c>
      <c r="C436" s="6">
        <v>0</v>
      </c>
      <c r="D436" s="6">
        <v>0</v>
      </c>
      <c r="E436" s="6">
        <v>6.9833908583573925E-2</v>
      </c>
      <c r="F436" s="6">
        <v>0</v>
      </c>
      <c r="G436" s="6">
        <v>0</v>
      </c>
      <c r="H436" s="6">
        <v>0</v>
      </c>
      <c r="I436" s="6">
        <v>0</v>
      </c>
      <c r="J436" s="6">
        <v>0</v>
      </c>
      <c r="K436" s="6">
        <v>0</v>
      </c>
      <c r="L436" s="6">
        <v>0</v>
      </c>
      <c r="M436" s="6">
        <v>0</v>
      </c>
      <c r="N436" s="6">
        <v>0</v>
      </c>
      <c r="O436" s="6">
        <v>0</v>
      </c>
      <c r="P436" s="6">
        <v>8.584952184779877E-3</v>
      </c>
      <c r="Q436" s="6">
        <v>0</v>
      </c>
      <c r="R436" s="6">
        <v>0.1590619896145046</v>
      </c>
      <c r="S436" s="6">
        <v>1.1935277956173419E-2</v>
      </c>
      <c r="T436" s="6">
        <v>0</v>
      </c>
      <c r="U436" s="6">
        <v>0</v>
      </c>
      <c r="V436" s="6">
        <v>0</v>
      </c>
      <c r="W436" s="6">
        <v>0</v>
      </c>
      <c r="X436" s="6">
        <v>0</v>
      </c>
      <c r="Y436" s="6">
        <v>0</v>
      </c>
      <c r="Z436" s="45">
        <v>0</v>
      </c>
      <c r="AB436" s="165"/>
      <c r="AC436" s="167"/>
      <c r="AD436" s="167"/>
      <c r="AE436" s="167"/>
      <c r="AF436" s="167"/>
      <c r="AG436" s="167"/>
      <c r="AH436" s="165"/>
    </row>
    <row r="437" spans="1:34" x14ac:dyDescent="0.3">
      <c r="A437" s="27" t="s">
        <v>91</v>
      </c>
      <c r="B437" s="7">
        <v>0</v>
      </c>
      <c r="C437" s="8">
        <v>0</v>
      </c>
      <c r="D437" s="8">
        <v>0</v>
      </c>
      <c r="E437" s="8">
        <v>2.184195477979058E-2</v>
      </c>
      <c r="F437" s="8">
        <v>0</v>
      </c>
      <c r="G437" s="8">
        <v>0</v>
      </c>
      <c r="H437" s="8">
        <v>0</v>
      </c>
      <c r="I437" s="8">
        <v>0</v>
      </c>
      <c r="J437" s="8">
        <v>0</v>
      </c>
      <c r="K437" s="8">
        <v>0</v>
      </c>
      <c r="L437" s="8">
        <v>0</v>
      </c>
      <c r="M437" s="8">
        <v>0</v>
      </c>
      <c r="N437" s="8">
        <v>0</v>
      </c>
      <c r="O437" s="8">
        <v>0</v>
      </c>
      <c r="P437" s="8">
        <v>1.8702126806738318E-2</v>
      </c>
      <c r="Q437" s="8">
        <v>0</v>
      </c>
      <c r="R437" s="8">
        <v>2.1871023571994382E-2</v>
      </c>
      <c r="S437" s="8">
        <v>5.1612012783452628E-2</v>
      </c>
      <c r="T437" s="8">
        <v>0</v>
      </c>
      <c r="U437" s="8">
        <v>0</v>
      </c>
      <c r="V437" s="8">
        <v>0</v>
      </c>
      <c r="W437" s="8">
        <v>0</v>
      </c>
      <c r="X437" s="8">
        <v>0</v>
      </c>
      <c r="Y437" s="8">
        <v>0</v>
      </c>
      <c r="Z437" s="10">
        <v>0</v>
      </c>
      <c r="AB437" s="165"/>
      <c r="AC437" s="167"/>
      <c r="AD437" s="167"/>
      <c r="AE437" s="167"/>
      <c r="AF437" s="167"/>
      <c r="AG437" s="167"/>
      <c r="AH437" s="165"/>
    </row>
    <row r="438" spans="1:34" x14ac:dyDescent="0.3">
      <c r="A438" s="27" t="s">
        <v>92</v>
      </c>
      <c r="B438" s="7">
        <v>0</v>
      </c>
      <c r="C438" s="8">
        <v>0</v>
      </c>
      <c r="D438" s="8">
        <v>0</v>
      </c>
      <c r="E438" s="8">
        <v>3.672115259597569E-6</v>
      </c>
      <c r="F438" s="8">
        <v>0</v>
      </c>
      <c r="G438" s="8">
        <v>0</v>
      </c>
      <c r="H438" s="8">
        <v>0</v>
      </c>
      <c r="I438" s="8">
        <v>0</v>
      </c>
      <c r="J438" s="8">
        <v>0</v>
      </c>
      <c r="K438" s="8">
        <v>0</v>
      </c>
      <c r="L438" s="8">
        <v>0</v>
      </c>
      <c r="M438" s="8">
        <v>0</v>
      </c>
      <c r="N438" s="8">
        <v>0</v>
      </c>
      <c r="O438" s="8">
        <v>0</v>
      </c>
      <c r="P438" s="8">
        <v>0</v>
      </c>
      <c r="Q438" s="8">
        <v>0</v>
      </c>
      <c r="R438" s="8">
        <v>0</v>
      </c>
      <c r="S438" s="8">
        <v>0</v>
      </c>
      <c r="T438" s="8">
        <v>0</v>
      </c>
      <c r="U438" s="8">
        <v>0</v>
      </c>
      <c r="V438" s="8">
        <v>0</v>
      </c>
      <c r="W438" s="8">
        <v>0</v>
      </c>
      <c r="X438" s="8">
        <v>0</v>
      </c>
      <c r="Y438" s="8">
        <v>0</v>
      </c>
      <c r="Z438" s="10">
        <v>0</v>
      </c>
      <c r="AB438" s="165"/>
      <c r="AC438" s="167"/>
      <c r="AD438" s="167"/>
      <c r="AE438" s="167"/>
      <c r="AF438" s="167"/>
      <c r="AG438" s="167"/>
      <c r="AH438" s="165"/>
    </row>
    <row r="439" spans="1:34" x14ac:dyDescent="0.3">
      <c r="A439" s="27" t="s">
        <v>93</v>
      </c>
      <c r="B439" s="7">
        <v>0</v>
      </c>
      <c r="C439" s="8">
        <v>0</v>
      </c>
      <c r="D439" s="8">
        <v>0</v>
      </c>
      <c r="E439" s="8">
        <v>2.7218669182849049</v>
      </c>
      <c r="F439" s="8">
        <v>0</v>
      </c>
      <c r="G439" s="8">
        <v>0</v>
      </c>
      <c r="H439" s="8">
        <v>0</v>
      </c>
      <c r="I439" s="8">
        <v>0</v>
      </c>
      <c r="J439" s="8">
        <v>0</v>
      </c>
      <c r="K439" s="8">
        <v>0</v>
      </c>
      <c r="L439" s="8">
        <v>0</v>
      </c>
      <c r="M439" s="8">
        <v>0</v>
      </c>
      <c r="N439" s="8">
        <v>0</v>
      </c>
      <c r="O439" s="8">
        <v>0</v>
      </c>
      <c r="P439" s="8">
        <v>1.6523967459768793E-2</v>
      </c>
      <c r="Q439" s="8">
        <v>0</v>
      </c>
      <c r="R439" s="8">
        <v>1.6154733320223125</v>
      </c>
      <c r="S439" s="8">
        <v>10.483690096638815</v>
      </c>
      <c r="T439" s="8">
        <v>0</v>
      </c>
      <c r="U439" s="8">
        <v>0</v>
      </c>
      <c r="V439" s="8">
        <v>0</v>
      </c>
      <c r="W439" s="8">
        <v>0</v>
      </c>
      <c r="X439" s="8">
        <v>0</v>
      </c>
      <c r="Y439" s="8">
        <v>0</v>
      </c>
      <c r="Z439" s="10">
        <v>0</v>
      </c>
      <c r="AB439" s="165"/>
      <c r="AC439" s="167"/>
      <c r="AD439" s="167"/>
      <c r="AE439" s="167"/>
      <c r="AF439" s="167"/>
      <c r="AG439" s="167"/>
      <c r="AH439" s="165"/>
    </row>
    <row r="440" spans="1:34" x14ac:dyDescent="0.3">
      <c r="A440" s="27" t="s">
        <v>94</v>
      </c>
      <c r="B440" s="7">
        <v>0</v>
      </c>
      <c r="C440" s="8">
        <v>0</v>
      </c>
      <c r="D440" s="8">
        <v>0</v>
      </c>
      <c r="E440" s="8">
        <v>5.2518078908864105E-3</v>
      </c>
      <c r="F440" s="8">
        <v>0</v>
      </c>
      <c r="G440" s="8">
        <v>0</v>
      </c>
      <c r="H440" s="8">
        <v>0</v>
      </c>
      <c r="I440" s="8">
        <v>0</v>
      </c>
      <c r="J440" s="8">
        <v>0</v>
      </c>
      <c r="K440" s="8">
        <v>0</v>
      </c>
      <c r="L440" s="8">
        <v>0</v>
      </c>
      <c r="M440" s="8">
        <v>0</v>
      </c>
      <c r="N440" s="8">
        <v>0</v>
      </c>
      <c r="O440" s="8">
        <v>0</v>
      </c>
      <c r="P440" s="8">
        <v>0</v>
      </c>
      <c r="Q440" s="8">
        <v>0</v>
      </c>
      <c r="R440" s="8">
        <v>2.1075713623921861E-4</v>
      </c>
      <c r="S440" s="8">
        <v>0</v>
      </c>
      <c r="T440" s="8">
        <v>0</v>
      </c>
      <c r="U440" s="8">
        <v>0</v>
      </c>
      <c r="V440" s="8">
        <v>0</v>
      </c>
      <c r="W440" s="8">
        <v>0</v>
      </c>
      <c r="X440" s="8">
        <v>0</v>
      </c>
      <c r="Y440" s="8">
        <v>0</v>
      </c>
      <c r="Z440" s="10">
        <v>0</v>
      </c>
      <c r="AB440" s="165"/>
      <c r="AC440" s="167"/>
      <c r="AD440" s="167"/>
      <c r="AE440" s="167"/>
      <c r="AF440" s="167"/>
      <c r="AG440" s="167"/>
      <c r="AH440" s="165"/>
    </row>
    <row r="441" spans="1:34" x14ac:dyDescent="0.3">
      <c r="A441" s="27" t="s">
        <v>95</v>
      </c>
      <c r="B441" s="7">
        <v>0</v>
      </c>
      <c r="C441" s="8">
        <v>0</v>
      </c>
      <c r="D441" s="8">
        <v>0</v>
      </c>
      <c r="E441" s="8">
        <v>2.9953075840516217E-3</v>
      </c>
      <c r="F441" s="8">
        <v>0</v>
      </c>
      <c r="G441" s="8">
        <v>0</v>
      </c>
      <c r="H441" s="8">
        <v>0</v>
      </c>
      <c r="I441" s="8">
        <v>0</v>
      </c>
      <c r="J441" s="8">
        <v>0</v>
      </c>
      <c r="K441" s="8">
        <v>0</v>
      </c>
      <c r="L441" s="8">
        <v>0</v>
      </c>
      <c r="M441" s="8">
        <v>0</v>
      </c>
      <c r="N441" s="8">
        <v>0</v>
      </c>
      <c r="O441" s="8">
        <v>0</v>
      </c>
      <c r="P441" s="8">
        <v>1.6674185345766691E-4</v>
      </c>
      <c r="Q441" s="8">
        <v>0</v>
      </c>
      <c r="R441" s="8">
        <v>2.3362229724630365E-3</v>
      </c>
      <c r="S441" s="8">
        <v>1.5161028755139208E-2</v>
      </c>
      <c r="T441" s="8">
        <v>0</v>
      </c>
      <c r="U441" s="8">
        <v>0</v>
      </c>
      <c r="V441" s="8">
        <v>0</v>
      </c>
      <c r="W441" s="8">
        <v>0</v>
      </c>
      <c r="X441" s="8">
        <v>0</v>
      </c>
      <c r="Y441" s="8">
        <v>0</v>
      </c>
      <c r="Z441" s="10">
        <v>0</v>
      </c>
      <c r="AB441" s="165"/>
      <c r="AC441" s="167"/>
      <c r="AD441" s="167"/>
      <c r="AE441" s="167"/>
      <c r="AF441" s="167"/>
      <c r="AG441" s="167"/>
      <c r="AH441" s="165"/>
    </row>
    <row r="442" spans="1:34" x14ac:dyDescent="0.3">
      <c r="A442" s="27" t="s">
        <v>96</v>
      </c>
      <c r="B442" s="7">
        <v>0</v>
      </c>
      <c r="C442" s="8">
        <v>0</v>
      </c>
      <c r="D442" s="8">
        <v>0</v>
      </c>
      <c r="E442" s="8">
        <v>2.9082349858354385E-5</v>
      </c>
      <c r="F442" s="8">
        <v>0</v>
      </c>
      <c r="G442" s="8">
        <v>0</v>
      </c>
      <c r="H442" s="8">
        <v>0</v>
      </c>
      <c r="I442" s="8">
        <v>0</v>
      </c>
      <c r="J442" s="8">
        <v>0</v>
      </c>
      <c r="K442" s="8">
        <v>0</v>
      </c>
      <c r="L442" s="8">
        <v>0</v>
      </c>
      <c r="M442" s="8">
        <v>0</v>
      </c>
      <c r="N442" s="8">
        <v>0</v>
      </c>
      <c r="O442" s="8">
        <v>0</v>
      </c>
      <c r="P442" s="8">
        <v>0</v>
      </c>
      <c r="Q442" s="8">
        <v>0</v>
      </c>
      <c r="R442" s="8">
        <v>4.6426218218733538E-4</v>
      </c>
      <c r="S442" s="8">
        <v>2.096738019327763E-4</v>
      </c>
      <c r="T442" s="8">
        <v>0</v>
      </c>
      <c r="U442" s="8">
        <v>0</v>
      </c>
      <c r="V442" s="8">
        <v>0</v>
      </c>
      <c r="W442" s="8">
        <v>0</v>
      </c>
      <c r="X442" s="8">
        <v>0</v>
      </c>
      <c r="Y442" s="8">
        <v>0</v>
      </c>
      <c r="Z442" s="10">
        <v>0</v>
      </c>
      <c r="AB442" s="165"/>
      <c r="AC442" s="167"/>
      <c r="AD442" s="167"/>
      <c r="AE442" s="167"/>
      <c r="AF442" s="167"/>
      <c r="AG442" s="167"/>
      <c r="AH442" s="165"/>
    </row>
    <row r="443" spans="1:34" x14ac:dyDescent="0.3">
      <c r="A443" s="27" t="s">
        <v>97</v>
      </c>
      <c r="B443" s="7">
        <v>0</v>
      </c>
      <c r="C443" s="8">
        <v>0</v>
      </c>
      <c r="D443" s="8">
        <v>0</v>
      </c>
      <c r="E443" s="8">
        <v>3.3557195908060389E-4</v>
      </c>
      <c r="F443" s="8">
        <v>0</v>
      </c>
      <c r="G443" s="8">
        <v>0</v>
      </c>
      <c r="H443" s="8">
        <v>0</v>
      </c>
      <c r="I443" s="8">
        <v>0</v>
      </c>
      <c r="J443" s="8">
        <v>0</v>
      </c>
      <c r="K443" s="8">
        <v>0</v>
      </c>
      <c r="L443" s="8">
        <v>0</v>
      </c>
      <c r="M443" s="8">
        <v>0</v>
      </c>
      <c r="N443" s="8">
        <v>0</v>
      </c>
      <c r="O443" s="8">
        <v>0</v>
      </c>
      <c r="P443" s="8">
        <v>0</v>
      </c>
      <c r="Q443" s="8">
        <v>0</v>
      </c>
      <c r="R443" s="8">
        <v>4.6028563244697269E-3</v>
      </c>
      <c r="S443" s="8">
        <v>0</v>
      </c>
      <c r="T443" s="8">
        <v>0</v>
      </c>
      <c r="U443" s="8">
        <v>0</v>
      </c>
      <c r="V443" s="8">
        <v>0</v>
      </c>
      <c r="W443" s="8">
        <v>0</v>
      </c>
      <c r="X443" s="8">
        <v>0</v>
      </c>
      <c r="Y443" s="8">
        <v>0</v>
      </c>
      <c r="Z443" s="10">
        <v>0</v>
      </c>
      <c r="AB443" s="165"/>
      <c r="AC443" s="167"/>
      <c r="AD443" s="167"/>
      <c r="AE443" s="167"/>
      <c r="AF443" s="167"/>
      <c r="AG443" s="167"/>
      <c r="AH443" s="165"/>
    </row>
    <row r="444" spans="1:34" x14ac:dyDescent="0.3">
      <c r="A444" s="27" t="s">
        <v>98</v>
      </c>
      <c r="B444" s="7">
        <v>0</v>
      </c>
      <c r="C444" s="8">
        <v>0</v>
      </c>
      <c r="D444" s="8">
        <v>0</v>
      </c>
      <c r="E444" s="8">
        <v>1.4461830472383103E-2</v>
      </c>
      <c r="F444" s="8">
        <v>0</v>
      </c>
      <c r="G444" s="8">
        <v>0</v>
      </c>
      <c r="H444" s="8">
        <v>0</v>
      </c>
      <c r="I444" s="8">
        <v>0</v>
      </c>
      <c r="J444" s="8">
        <v>0</v>
      </c>
      <c r="K444" s="8">
        <v>0</v>
      </c>
      <c r="L444" s="8">
        <v>0</v>
      </c>
      <c r="M444" s="8">
        <v>0</v>
      </c>
      <c r="N444" s="8">
        <v>0</v>
      </c>
      <c r="O444" s="8">
        <v>0</v>
      </c>
      <c r="P444" s="8">
        <v>0</v>
      </c>
      <c r="Q444" s="8">
        <v>0</v>
      </c>
      <c r="R444" s="8">
        <v>1.6154733320223125E-3</v>
      </c>
      <c r="S444" s="8">
        <v>1.0483690096638815E-2</v>
      </c>
      <c r="T444" s="8">
        <v>0</v>
      </c>
      <c r="U444" s="8">
        <v>0</v>
      </c>
      <c r="V444" s="8">
        <v>0</v>
      </c>
      <c r="W444" s="8">
        <v>0</v>
      </c>
      <c r="X444" s="8">
        <v>0</v>
      </c>
      <c r="Y444" s="8">
        <v>0</v>
      </c>
      <c r="Z444" s="10">
        <v>0</v>
      </c>
      <c r="AB444" s="165"/>
      <c r="AC444" s="167"/>
      <c r="AD444" s="167"/>
      <c r="AE444" s="167"/>
      <c r="AF444" s="167"/>
      <c r="AG444" s="167"/>
      <c r="AH444" s="165"/>
    </row>
    <row r="445" spans="1:34" x14ac:dyDescent="0.3">
      <c r="A445" s="27" t="s">
        <v>99</v>
      </c>
      <c r="B445" s="7">
        <v>0</v>
      </c>
      <c r="C445" s="8">
        <v>0</v>
      </c>
      <c r="D445" s="8">
        <v>0</v>
      </c>
      <c r="E445" s="8">
        <v>4.9295365454597666E-2</v>
      </c>
      <c r="F445" s="8">
        <v>0</v>
      </c>
      <c r="G445" s="8">
        <v>0</v>
      </c>
      <c r="H445" s="8">
        <v>0</v>
      </c>
      <c r="I445" s="8">
        <v>0</v>
      </c>
      <c r="J445" s="8">
        <v>0</v>
      </c>
      <c r="K445" s="8">
        <v>0</v>
      </c>
      <c r="L445" s="8">
        <v>0</v>
      </c>
      <c r="M445" s="8">
        <v>0</v>
      </c>
      <c r="N445" s="8">
        <v>0</v>
      </c>
      <c r="O445" s="8">
        <v>0</v>
      </c>
      <c r="P445" s="8">
        <v>0</v>
      </c>
      <c r="Q445" s="8">
        <v>0</v>
      </c>
      <c r="R445" s="8">
        <v>0</v>
      </c>
      <c r="S445" s="8">
        <v>0</v>
      </c>
      <c r="T445" s="8">
        <v>0</v>
      </c>
      <c r="U445" s="8">
        <v>0</v>
      </c>
      <c r="V445" s="8">
        <v>0</v>
      </c>
      <c r="W445" s="8">
        <v>0</v>
      </c>
      <c r="X445" s="8">
        <v>0</v>
      </c>
      <c r="Y445" s="8">
        <v>0</v>
      </c>
      <c r="Z445" s="10">
        <v>0</v>
      </c>
      <c r="AB445" s="165"/>
      <c r="AC445" s="167"/>
      <c r="AD445" s="167"/>
      <c r="AE445" s="167"/>
      <c r="AF445" s="167"/>
      <c r="AG445" s="167"/>
      <c r="AH445" s="165"/>
    </row>
    <row r="446" spans="1:34" x14ac:dyDescent="0.3">
      <c r="A446" s="27" t="s">
        <v>100</v>
      </c>
      <c r="B446" s="7">
        <v>0</v>
      </c>
      <c r="C446" s="8">
        <v>0</v>
      </c>
      <c r="D446" s="8">
        <v>0</v>
      </c>
      <c r="E446" s="8">
        <v>3.4157712332862813</v>
      </c>
      <c r="F446" s="8">
        <v>0</v>
      </c>
      <c r="G446" s="8">
        <v>0</v>
      </c>
      <c r="H446" s="8">
        <v>0</v>
      </c>
      <c r="I446" s="8">
        <v>0</v>
      </c>
      <c r="J446" s="8">
        <v>0</v>
      </c>
      <c r="K446" s="8">
        <v>0</v>
      </c>
      <c r="L446" s="8">
        <v>0</v>
      </c>
      <c r="M446" s="8">
        <v>0</v>
      </c>
      <c r="N446" s="8">
        <v>0</v>
      </c>
      <c r="O446" s="8">
        <v>0</v>
      </c>
      <c r="P446" s="8">
        <v>0.70979453312866847</v>
      </c>
      <c r="Q446" s="8">
        <v>0</v>
      </c>
      <c r="R446" s="8">
        <v>4.9706871754532687</v>
      </c>
      <c r="S446" s="8">
        <v>8.0643769974144721</v>
      </c>
      <c r="T446" s="8">
        <v>0</v>
      </c>
      <c r="U446" s="8">
        <v>0</v>
      </c>
      <c r="V446" s="8">
        <v>0</v>
      </c>
      <c r="W446" s="8">
        <v>0</v>
      </c>
      <c r="X446" s="8">
        <v>0</v>
      </c>
      <c r="Y446" s="8">
        <v>0</v>
      </c>
      <c r="Z446" s="10">
        <v>0</v>
      </c>
      <c r="AB446" s="165"/>
      <c r="AC446" s="167"/>
      <c r="AD446" s="167"/>
      <c r="AE446" s="167"/>
      <c r="AF446" s="167"/>
      <c r="AG446" s="167"/>
      <c r="AH446" s="165"/>
    </row>
    <row r="447" spans="1:34" ht="15" thickBot="1" x14ac:dyDescent="0.35">
      <c r="A447" s="27" t="s">
        <v>101</v>
      </c>
      <c r="B447" s="44">
        <v>0</v>
      </c>
      <c r="C447" s="38">
        <v>0</v>
      </c>
      <c r="D447" s="38">
        <v>0</v>
      </c>
      <c r="E447" s="38">
        <v>0.34273075756243976</v>
      </c>
      <c r="F447" s="38">
        <v>0</v>
      </c>
      <c r="G447" s="38">
        <v>0</v>
      </c>
      <c r="H447" s="38">
        <v>0</v>
      </c>
      <c r="I447" s="38">
        <v>0</v>
      </c>
      <c r="J447" s="38">
        <v>0</v>
      </c>
      <c r="K447" s="38">
        <v>0</v>
      </c>
      <c r="L447" s="38">
        <v>0</v>
      </c>
      <c r="M447" s="38">
        <v>0</v>
      </c>
      <c r="N447" s="38">
        <v>0</v>
      </c>
      <c r="O447" s="38">
        <v>0</v>
      </c>
      <c r="P447" s="38">
        <v>0</v>
      </c>
      <c r="Q447" s="38">
        <v>0</v>
      </c>
      <c r="R447" s="38">
        <v>0</v>
      </c>
      <c r="S447" s="38">
        <v>0</v>
      </c>
      <c r="T447" s="38">
        <v>0</v>
      </c>
      <c r="U447" s="38">
        <v>0</v>
      </c>
      <c r="V447" s="38">
        <v>0</v>
      </c>
      <c r="W447" s="38">
        <v>0</v>
      </c>
      <c r="X447" s="38">
        <v>0</v>
      </c>
      <c r="Y447" s="38">
        <v>0</v>
      </c>
      <c r="Z447" s="39">
        <v>0</v>
      </c>
      <c r="AB447" s="165"/>
      <c r="AC447" s="167"/>
      <c r="AD447" s="167"/>
      <c r="AE447" s="167"/>
      <c r="AF447" s="167"/>
      <c r="AG447" s="167"/>
      <c r="AH447" s="165"/>
    </row>
    <row r="448" spans="1:34" x14ac:dyDescent="0.3">
      <c r="AB448" s="165"/>
      <c r="AC448" s="165"/>
      <c r="AD448" s="165"/>
      <c r="AE448" s="165"/>
      <c r="AF448" s="165"/>
      <c r="AG448" s="165"/>
      <c r="AH448" s="165"/>
    </row>
    <row r="449" spans="1:34" x14ac:dyDescent="0.3">
      <c r="AB449" s="165"/>
      <c r="AC449" s="165"/>
      <c r="AD449" s="165"/>
      <c r="AE449" s="165"/>
      <c r="AF449" s="165"/>
      <c r="AG449" s="165"/>
      <c r="AH449" s="165"/>
    </row>
    <row r="450" spans="1:34" x14ac:dyDescent="0.3">
      <c r="AB450" s="165"/>
      <c r="AC450" s="165"/>
      <c r="AD450" s="165"/>
      <c r="AE450" s="165"/>
      <c r="AF450" s="165"/>
      <c r="AG450" s="165"/>
      <c r="AH450" s="165"/>
    </row>
    <row r="451" spans="1:34" ht="15" thickBot="1" x14ac:dyDescent="0.35">
      <c r="A451" s="1" t="s">
        <v>299</v>
      </c>
    </row>
    <row r="452" spans="1:34" ht="15" thickBot="1" x14ac:dyDescent="0.35">
      <c r="A452" s="1"/>
      <c r="B452" s="55">
        <v>1</v>
      </c>
      <c r="C452" s="56">
        <v>2</v>
      </c>
      <c r="D452" s="56">
        <v>3</v>
      </c>
      <c r="E452" s="56">
        <v>4</v>
      </c>
      <c r="F452" s="56">
        <v>5</v>
      </c>
      <c r="G452" s="56">
        <v>6</v>
      </c>
      <c r="H452" s="56">
        <v>7</v>
      </c>
      <c r="I452" s="56">
        <v>8</v>
      </c>
      <c r="J452" s="56">
        <v>9</v>
      </c>
      <c r="K452" s="56">
        <v>10</v>
      </c>
      <c r="L452" s="56">
        <v>11</v>
      </c>
      <c r="M452" s="56">
        <v>12</v>
      </c>
      <c r="N452" s="56">
        <v>13</v>
      </c>
      <c r="O452" s="56">
        <v>14</v>
      </c>
      <c r="P452" s="56">
        <v>15</v>
      </c>
      <c r="Q452" s="56">
        <v>16</v>
      </c>
      <c r="R452" s="56">
        <v>17</v>
      </c>
      <c r="S452" s="56">
        <v>18</v>
      </c>
      <c r="T452" s="56">
        <v>19</v>
      </c>
      <c r="U452" s="56">
        <v>20</v>
      </c>
      <c r="V452" s="56">
        <v>21</v>
      </c>
      <c r="W452" s="56">
        <v>22</v>
      </c>
      <c r="X452" s="56">
        <v>23</v>
      </c>
      <c r="Y452" s="56">
        <v>24</v>
      </c>
      <c r="Z452" s="57">
        <v>25</v>
      </c>
    </row>
    <row r="453" spans="1:34" x14ac:dyDescent="0.3">
      <c r="A453" s="26" t="s">
        <v>79</v>
      </c>
      <c r="B453" s="5">
        <v>0.88082033337796251</v>
      </c>
      <c r="C453" s="6">
        <v>0</v>
      </c>
      <c r="D453" s="6">
        <v>0</v>
      </c>
      <c r="E453" s="6">
        <v>0</v>
      </c>
      <c r="F453" s="6">
        <v>0</v>
      </c>
      <c r="G453" s="6">
        <v>0</v>
      </c>
      <c r="H453" s="6">
        <v>0</v>
      </c>
      <c r="I453" s="6">
        <v>0</v>
      </c>
      <c r="J453" s="6">
        <v>0</v>
      </c>
      <c r="K453" s="6">
        <v>0</v>
      </c>
      <c r="L453" s="6">
        <v>0</v>
      </c>
      <c r="M453" s="6">
        <v>0</v>
      </c>
      <c r="N453" s="6">
        <v>0</v>
      </c>
      <c r="O453" s="6">
        <v>0</v>
      </c>
      <c r="P453" s="6">
        <v>0</v>
      </c>
      <c r="Q453" s="6">
        <v>0</v>
      </c>
      <c r="R453" s="6">
        <v>0</v>
      </c>
      <c r="S453" s="6">
        <v>0</v>
      </c>
      <c r="T453" s="6">
        <v>0</v>
      </c>
      <c r="U453" s="6">
        <v>0</v>
      </c>
      <c r="V453" s="6">
        <v>0</v>
      </c>
      <c r="W453" s="6">
        <v>0</v>
      </c>
      <c r="X453" s="6">
        <v>0</v>
      </c>
      <c r="Y453" s="6">
        <v>0</v>
      </c>
      <c r="Z453" s="45">
        <v>0</v>
      </c>
    </row>
    <row r="454" spans="1:34" ht="15" thickBot="1" x14ac:dyDescent="0.35">
      <c r="A454" s="47" t="s">
        <v>80</v>
      </c>
      <c r="B454" s="44">
        <v>0.14971136813568256</v>
      </c>
      <c r="C454" s="38">
        <v>2.9963300362072509E-3</v>
      </c>
      <c r="D454" s="38">
        <v>0</v>
      </c>
      <c r="E454" s="38">
        <v>0</v>
      </c>
      <c r="F454" s="38">
        <v>3.8585429371227847E-3</v>
      </c>
      <c r="G454" s="38">
        <v>0</v>
      </c>
      <c r="H454" s="38">
        <v>7.7243832176331356E-6</v>
      </c>
      <c r="I454" s="38">
        <v>0</v>
      </c>
      <c r="J454" s="38">
        <v>1.9360790926422787E-3</v>
      </c>
      <c r="K454" s="38">
        <v>0</v>
      </c>
      <c r="L454" s="38">
        <v>1.4999441542522384E-3</v>
      </c>
      <c r="M454" s="38">
        <v>1.2304224679353295E-2</v>
      </c>
      <c r="N454" s="38">
        <v>1.0731704527748295E-2</v>
      </c>
      <c r="O454" s="38">
        <v>0</v>
      </c>
      <c r="P454" s="38">
        <v>0</v>
      </c>
      <c r="Q454" s="38">
        <v>1.3666071005741765E-2</v>
      </c>
      <c r="R454" s="38">
        <v>0</v>
      </c>
      <c r="S454" s="38">
        <v>1.961899773133691E-2</v>
      </c>
      <c r="T454" s="38">
        <v>0</v>
      </c>
      <c r="U454" s="38">
        <v>2.7123478933616756E-2</v>
      </c>
      <c r="V454" s="38">
        <v>0</v>
      </c>
      <c r="W454" s="38">
        <v>0</v>
      </c>
      <c r="X454" s="38">
        <v>0</v>
      </c>
      <c r="Y454" s="38">
        <v>0</v>
      </c>
      <c r="Z454" s="39">
        <v>0</v>
      </c>
    </row>
    <row r="455" spans="1:34" ht="15" thickBot="1" x14ac:dyDescent="0.35">
      <c r="A455" s="31" t="s">
        <v>81</v>
      </c>
      <c r="B455" s="51">
        <v>6.3094623057779759E-3</v>
      </c>
      <c r="C455" s="52">
        <v>1.1890829464509926E-2</v>
      </c>
      <c r="D455" s="52">
        <v>0</v>
      </c>
      <c r="E455" s="52">
        <v>0</v>
      </c>
      <c r="F455" s="52">
        <v>1.1130766743250135E-2</v>
      </c>
      <c r="G455" s="52">
        <v>0</v>
      </c>
      <c r="H455" s="52">
        <v>2.8272050415356561E-5</v>
      </c>
      <c r="I455" s="52">
        <v>0</v>
      </c>
      <c r="J455" s="52">
        <v>1.2360393859477464E-2</v>
      </c>
      <c r="K455" s="52">
        <v>0</v>
      </c>
      <c r="L455" s="52">
        <v>4.5295863008517935E-3</v>
      </c>
      <c r="M455" s="52">
        <v>0.46703639673194097</v>
      </c>
      <c r="N455" s="52">
        <v>0.48521923588888205</v>
      </c>
      <c r="O455" s="52">
        <v>0</v>
      </c>
      <c r="P455" s="52">
        <v>0</v>
      </c>
      <c r="Q455" s="52">
        <v>0.12261059713555046</v>
      </c>
      <c r="R455" s="52">
        <v>0</v>
      </c>
      <c r="S455" s="52">
        <v>2.491561050453784E-2</v>
      </c>
      <c r="T455" s="52">
        <v>0</v>
      </c>
      <c r="U455" s="52">
        <v>0.28375862906744603</v>
      </c>
      <c r="V455" s="52">
        <v>0</v>
      </c>
      <c r="W455" s="52">
        <v>0</v>
      </c>
      <c r="X455" s="52">
        <v>0</v>
      </c>
      <c r="Y455" s="52">
        <v>0</v>
      </c>
      <c r="Z455" s="52">
        <v>0</v>
      </c>
    </row>
    <row r="457" spans="1:34" ht="15" thickBot="1" x14ac:dyDescent="0.35">
      <c r="A457" s="1" t="s">
        <v>311</v>
      </c>
    </row>
    <row r="458" spans="1:34" ht="15" thickBot="1" x14ac:dyDescent="0.35">
      <c r="A458" s="1"/>
      <c r="B458" s="68" t="s">
        <v>82</v>
      </c>
    </row>
    <row r="459" spans="1:34" ht="28.8" x14ac:dyDescent="0.3">
      <c r="A459" s="26" t="s">
        <v>83</v>
      </c>
      <c r="B459" s="66">
        <v>2.0333332734686297E-3</v>
      </c>
    </row>
    <row r="460" spans="1:34" ht="29.4" thickBot="1" x14ac:dyDescent="0.35">
      <c r="A460" s="47" t="s">
        <v>84</v>
      </c>
      <c r="B460" s="59">
        <v>1.2000283163379274E-2</v>
      </c>
    </row>
    <row r="463" spans="1:34" ht="15" thickBot="1" x14ac:dyDescent="0.35">
      <c r="A463" s="1" t="s">
        <v>85</v>
      </c>
    </row>
    <row r="464" spans="1:34" ht="15" thickBot="1" x14ac:dyDescent="0.35">
      <c r="B464" s="55">
        <v>1</v>
      </c>
      <c r="C464" s="56">
        <v>2</v>
      </c>
      <c r="D464" s="56">
        <v>3</v>
      </c>
      <c r="E464" s="56">
        <v>4</v>
      </c>
      <c r="F464" s="56">
        <v>5</v>
      </c>
      <c r="G464" s="56">
        <v>6</v>
      </c>
      <c r="H464" s="56">
        <v>7</v>
      </c>
      <c r="I464" s="56">
        <v>8</v>
      </c>
      <c r="J464" s="56">
        <v>9</v>
      </c>
      <c r="K464" s="56">
        <v>10</v>
      </c>
      <c r="L464" s="56">
        <v>11</v>
      </c>
      <c r="M464" s="56">
        <v>12</v>
      </c>
      <c r="N464" s="56">
        <v>13</v>
      </c>
      <c r="O464" s="56">
        <v>14</v>
      </c>
      <c r="P464" s="56">
        <v>15</v>
      </c>
      <c r="Q464" s="56">
        <v>16</v>
      </c>
      <c r="R464" s="56">
        <v>17</v>
      </c>
      <c r="S464" s="56">
        <v>18</v>
      </c>
      <c r="T464" s="56">
        <v>19</v>
      </c>
      <c r="U464" s="56">
        <v>20</v>
      </c>
      <c r="V464" s="56">
        <v>21</v>
      </c>
      <c r="W464" s="56">
        <v>22</v>
      </c>
      <c r="X464" s="56">
        <v>23</v>
      </c>
      <c r="Y464" s="56">
        <v>24</v>
      </c>
      <c r="Z464" s="57">
        <v>25</v>
      </c>
    </row>
    <row r="465" spans="1:26" x14ac:dyDescent="0.3">
      <c r="A465" s="26" t="s">
        <v>292</v>
      </c>
      <c r="B465" s="105">
        <v>6.0146373514059452E-6</v>
      </c>
      <c r="C465" s="6">
        <v>0</v>
      </c>
      <c r="D465" s="6">
        <v>0</v>
      </c>
      <c r="E465" s="6">
        <v>0</v>
      </c>
      <c r="F465" s="6">
        <v>7.1231727105088754E-5</v>
      </c>
      <c r="G465" s="6">
        <v>0</v>
      </c>
      <c r="H465" s="6">
        <v>0</v>
      </c>
      <c r="I465" s="6">
        <v>0</v>
      </c>
      <c r="J465" s="6">
        <v>0</v>
      </c>
      <c r="K465" s="6">
        <v>0</v>
      </c>
      <c r="L465" s="6">
        <v>0</v>
      </c>
      <c r="M465" s="6">
        <v>0</v>
      </c>
      <c r="N465" s="6">
        <v>0</v>
      </c>
      <c r="O465" s="6">
        <v>0</v>
      </c>
      <c r="P465" s="6">
        <v>0</v>
      </c>
      <c r="Q465" s="6">
        <v>0</v>
      </c>
      <c r="R465" s="6">
        <v>0</v>
      </c>
      <c r="S465" s="6">
        <v>0</v>
      </c>
      <c r="T465" s="6">
        <v>0</v>
      </c>
      <c r="U465" s="6">
        <v>0</v>
      </c>
      <c r="V465" s="6">
        <v>0</v>
      </c>
      <c r="W465" s="6">
        <v>0</v>
      </c>
      <c r="X465" s="6">
        <v>0</v>
      </c>
      <c r="Y465" s="6">
        <v>1.0460755753506168E-5</v>
      </c>
      <c r="Z465" s="45">
        <v>3.3549341187450893E-7</v>
      </c>
    </row>
    <row r="466" spans="1:26" x14ac:dyDescent="0.3">
      <c r="A466" s="27" t="s">
        <v>293</v>
      </c>
      <c r="B466" s="36">
        <v>9.6518169371287181E-6</v>
      </c>
      <c r="C466" s="8">
        <v>0</v>
      </c>
      <c r="D466" s="8">
        <v>1.5539134030279711E-5</v>
      </c>
      <c r="E466" s="8">
        <v>0</v>
      </c>
      <c r="F466" s="8">
        <v>0</v>
      </c>
      <c r="G466" s="8">
        <v>0</v>
      </c>
      <c r="H466" s="8">
        <v>0</v>
      </c>
      <c r="I466" s="8">
        <v>1.5539134030279711E-5</v>
      </c>
      <c r="J466" s="8">
        <v>0</v>
      </c>
      <c r="K466" s="8">
        <v>5.971138494780803E-5</v>
      </c>
      <c r="L466" s="8">
        <v>0</v>
      </c>
      <c r="M466" s="8">
        <v>0</v>
      </c>
      <c r="N466" s="8">
        <v>0</v>
      </c>
      <c r="O466" s="8">
        <v>0</v>
      </c>
      <c r="P466" s="8">
        <v>0</v>
      </c>
      <c r="Q466" s="8">
        <v>0</v>
      </c>
      <c r="R466" s="8">
        <v>0</v>
      </c>
      <c r="S466" s="8">
        <v>0</v>
      </c>
      <c r="T466" s="8">
        <v>0</v>
      </c>
      <c r="U466" s="8">
        <v>0</v>
      </c>
      <c r="V466" s="8">
        <v>0</v>
      </c>
      <c r="W466" s="8">
        <v>0</v>
      </c>
      <c r="X466" s="8">
        <v>0</v>
      </c>
      <c r="Y466" s="8">
        <v>4.5954511351720828E-5</v>
      </c>
      <c r="Z466" s="10">
        <v>1.0566589629952886E-4</v>
      </c>
    </row>
    <row r="467" spans="1:26" x14ac:dyDescent="0.3">
      <c r="A467" s="27" t="s">
        <v>294</v>
      </c>
      <c r="B467" s="36">
        <v>5.2604169231345424E-7</v>
      </c>
      <c r="C467" s="8">
        <v>0</v>
      </c>
      <c r="D467" s="8">
        <v>1.2600692976511436E-7</v>
      </c>
      <c r="E467" s="8">
        <v>0</v>
      </c>
      <c r="F467" s="8">
        <v>0</v>
      </c>
      <c r="G467" s="8">
        <v>0</v>
      </c>
      <c r="H467" s="8">
        <v>0</v>
      </c>
      <c r="I467" s="8">
        <v>0</v>
      </c>
      <c r="J467" s="8">
        <v>0</v>
      </c>
      <c r="K467" s="8">
        <v>0</v>
      </c>
      <c r="L467" s="8">
        <v>0</v>
      </c>
      <c r="M467" s="8">
        <v>0</v>
      </c>
      <c r="N467" s="8">
        <v>0</v>
      </c>
      <c r="O467" s="8">
        <v>0</v>
      </c>
      <c r="P467" s="8">
        <v>0</v>
      </c>
      <c r="Q467" s="8">
        <v>0</v>
      </c>
      <c r="R467" s="8">
        <v>0</v>
      </c>
      <c r="S467" s="8">
        <v>0</v>
      </c>
      <c r="T467" s="8">
        <v>0</v>
      </c>
      <c r="U467" s="8">
        <v>0</v>
      </c>
      <c r="V467" s="8">
        <v>0</v>
      </c>
      <c r="W467" s="8">
        <v>0</v>
      </c>
      <c r="X467" s="8">
        <v>0</v>
      </c>
      <c r="Y467" s="8">
        <v>0</v>
      </c>
      <c r="Z467" s="10">
        <v>0</v>
      </c>
    </row>
    <row r="468" spans="1:26" x14ac:dyDescent="0.3">
      <c r="A468" s="27" t="s">
        <v>295</v>
      </c>
      <c r="B468" s="36">
        <v>0</v>
      </c>
      <c r="C468" s="8">
        <v>0</v>
      </c>
      <c r="D468" s="8">
        <v>0</v>
      </c>
      <c r="E468" s="8">
        <v>0</v>
      </c>
      <c r="F468" s="8">
        <v>0</v>
      </c>
      <c r="G468" s="8">
        <v>0</v>
      </c>
      <c r="H468" s="8">
        <v>0</v>
      </c>
      <c r="I468" s="8">
        <v>0</v>
      </c>
      <c r="J468" s="8">
        <v>0</v>
      </c>
      <c r="K468" s="8">
        <v>0</v>
      </c>
      <c r="L468" s="8">
        <v>0</v>
      </c>
      <c r="M468" s="8">
        <v>2.7454309101597489E-3</v>
      </c>
      <c r="N468" s="8">
        <v>2.7454309101597489E-3</v>
      </c>
      <c r="O468" s="8">
        <v>2.7454309101597489E-3</v>
      </c>
      <c r="P468" s="8">
        <v>2.7454309101597489E-3</v>
      </c>
      <c r="Q468" s="8">
        <v>2.7454309101597489E-3</v>
      </c>
      <c r="R468" s="8">
        <v>2.7454309101597489E-3</v>
      </c>
      <c r="S468" s="8">
        <v>2.7454309101597489E-3</v>
      </c>
      <c r="T468" s="8">
        <v>2.7454309101597489E-3</v>
      </c>
      <c r="U468" s="8">
        <v>2.7454309101597489E-3</v>
      </c>
      <c r="V468" s="8">
        <v>0</v>
      </c>
      <c r="W468" s="8">
        <v>0</v>
      </c>
      <c r="X468" s="8">
        <v>0</v>
      </c>
      <c r="Y468" s="8">
        <v>0</v>
      </c>
      <c r="Z468" s="10">
        <v>0</v>
      </c>
    </row>
    <row r="469" spans="1:26" x14ac:dyDescent="0.3">
      <c r="A469" s="27" t="s">
        <v>296</v>
      </c>
      <c r="B469" s="36">
        <v>0</v>
      </c>
      <c r="C469" s="8">
        <v>0</v>
      </c>
      <c r="D469" s="8">
        <v>0</v>
      </c>
      <c r="E469" s="8">
        <v>0</v>
      </c>
      <c r="F469" s="8">
        <v>0</v>
      </c>
      <c r="G469" s="8">
        <v>0</v>
      </c>
      <c r="H469" s="8">
        <v>0</v>
      </c>
      <c r="I469" s="8">
        <v>0</v>
      </c>
      <c r="J469" s="8">
        <v>0</v>
      </c>
      <c r="K469" s="8">
        <v>0</v>
      </c>
      <c r="L469" s="8">
        <v>2.321667992261937E-2</v>
      </c>
      <c r="M469" s="8">
        <v>0</v>
      </c>
      <c r="N469" s="8">
        <v>0</v>
      </c>
      <c r="O469" s="8">
        <v>0</v>
      </c>
      <c r="P469" s="8">
        <v>0</v>
      </c>
      <c r="Q469" s="8">
        <v>0</v>
      </c>
      <c r="R469" s="8">
        <v>0</v>
      </c>
      <c r="S469" s="8">
        <v>0</v>
      </c>
      <c r="T469" s="8">
        <v>0</v>
      </c>
      <c r="U469" s="8">
        <v>0</v>
      </c>
      <c r="V469" s="8">
        <v>0</v>
      </c>
      <c r="W469" s="8">
        <v>0</v>
      </c>
      <c r="X469" s="8">
        <v>0</v>
      </c>
      <c r="Y469" s="8">
        <v>0</v>
      </c>
      <c r="Z469" s="10">
        <v>0</v>
      </c>
    </row>
    <row r="470" spans="1:26" ht="15" thickBot="1" x14ac:dyDescent="0.35">
      <c r="A470" s="47" t="s">
        <v>297</v>
      </c>
      <c r="B470" s="37">
        <v>0</v>
      </c>
      <c r="C470" s="38">
        <v>0</v>
      </c>
      <c r="D470" s="38">
        <v>0</v>
      </c>
      <c r="E470" s="38">
        <v>4.4901343089328693E-4</v>
      </c>
      <c r="F470" s="38">
        <v>4.4901343089328693E-4</v>
      </c>
      <c r="G470" s="38">
        <v>0</v>
      </c>
      <c r="H470" s="38">
        <v>0</v>
      </c>
      <c r="I470" s="38">
        <v>0</v>
      </c>
      <c r="J470" s="38">
        <v>0</v>
      </c>
      <c r="K470" s="38">
        <v>0</v>
      </c>
      <c r="L470" s="38">
        <v>0</v>
      </c>
      <c r="M470" s="38">
        <v>0</v>
      </c>
      <c r="N470" s="38">
        <v>0</v>
      </c>
      <c r="O470" s="38">
        <v>0</v>
      </c>
      <c r="P470" s="38">
        <v>0</v>
      </c>
      <c r="Q470" s="38">
        <v>0</v>
      </c>
      <c r="R470" s="38">
        <v>0</v>
      </c>
      <c r="S470" s="38">
        <v>0</v>
      </c>
      <c r="T470" s="38">
        <v>0</v>
      </c>
      <c r="U470" s="38">
        <v>0</v>
      </c>
      <c r="V470" s="38">
        <v>0</v>
      </c>
      <c r="W470" s="38">
        <v>0</v>
      </c>
      <c r="X470" s="38">
        <v>0</v>
      </c>
      <c r="Y470" s="38">
        <v>4.4901343089328693E-4</v>
      </c>
      <c r="Z470" s="39">
        <v>0</v>
      </c>
    </row>
    <row r="472" spans="1:26" ht="15" thickBot="1" x14ac:dyDescent="0.35">
      <c r="A472" s="1" t="s">
        <v>314</v>
      </c>
    </row>
    <row r="473" spans="1:26" ht="15" thickBot="1" x14ac:dyDescent="0.35">
      <c r="A473" s="62" t="s">
        <v>312</v>
      </c>
      <c r="B473" s="55">
        <v>1</v>
      </c>
      <c r="C473" s="56">
        <v>2</v>
      </c>
      <c r="D473" s="56">
        <v>3</v>
      </c>
      <c r="E473" s="56">
        <v>4</v>
      </c>
      <c r="F473" s="56">
        <v>5</v>
      </c>
      <c r="G473" s="56">
        <v>6</v>
      </c>
      <c r="H473" s="56">
        <v>7</v>
      </c>
      <c r="I473" s="56">
        <v>8</v>
      </c>
      <c r="J473" s="56">
        <v>9</v>
      </c>
      <c r="K473" s="56">
        <v>10</v>
      </c>
      <c r="L473" s="56">
        <v>11</v>
      </c>
      <c r="M473" s="56">
        <v>12</v>
      </c>
      <c r="N473" s="56">
        <v>13</v>
      </c>
      <c r="O473" s="56">
        <v>14</v>
      </c>
      <c r="P473" s="56">
        <v>15</v>
      </c>
      <c r="Q473" s="56">
        <v>16</v>
      </c>
      <c r="R473" s="56">
        <v>17</v>
      </c>
      <c r="S473" s="56">
        <v>18</v>
      </c>
      <c r="T473" s="56">
        <v>19</v>
      </c>
      <c r="U473" s="56">
        <v>20</v>
      </c>
      <c r="V473" s="56">
        <v>21</v>
      </c>
      <c r="W473" s="56">
        <v>22</v>
      </c>
      <c r="X473" s="56">
        <v>23</v>
      </c>
      <c r="Y473" s="56">
        <v>24</v>
      </c>
      <c r="Z473" s="57">
        <v>25</v>
      </c>
    </row>
    <row r="474" spans="1:26" ht="15" thickBot="1" x14ac:dyDescent="0.35">
      <c r="A474" s="62" t="s">
        <v>88</v>
      </c>
      <c r="B474" s="5">
        <v>0.70465626670237003</v>
      </c>
      <c r="C474" s="6">
        <v>0</v>
      </c>
      <c r="D474" s="6">
        <v>0</v>
      </c>
      <c r="E474" s="6">
        <v>0</v>
      </c>
      <c r="F474" s="6">
        <v>0</v>
      </c>
      <c r="G474" s="6">
        <v>0</v>
      </c>
      <c r="H474" s="6">
        <v>0</v>
      </c>
      <c r="I474" s="6">
        <v>0</v>
      </c>
      <c r="J474" s="6">
        <v>0</v>
      </c>
      <c r="K474" s="6">
        <v>0</v>
      </c>
      <c r="L474" s="6">
        <v>0</v>
      </c>
      <c r="M474" s="6">
        <v>0</v>
      </c>
      <c r="N474" s="6">
        <v>0</v>
      </c>
      <c r="O474" s="6">
        <v>0</v>
      </c>
      <c r="P474" s="6">
        <v>0</v>
      </c>
      <c r="Q474" s="6">
        <v>0</v>
      </c>
      <c r="R474" s="6">
        <v>0</v>
      </c>
      <c r="S474" s="6">
        <v>0</v>
      </c>
      <c r="T474" s="6">
        <v>0</v>
      </c>
      <c r="U474" s="6">
        <v>0</v>
      </c>
      <c r="V474" s="6">
        <v>0</v>
      </c>
      <c r="W474" s="6">
        <v>0</v>
      </c>
      <c r="X474" s="6">
        <v>0</v>
      </c>
      <c r="Y474" s="6">
        <v>0</v>
      </c>
      <c r="Z474" s="45">
        <v>0</v>
      </c>
    </row>
    <row r="475" spans="1:26" ht="15" thickBot="1" x14ac:dyDescent="0.35">
      <c r="A475" s="62" t="s">
        <v>89</v>
      </c>
      <c r="B475" s="55">
        <v>0.28186250668094803</v>
      </c>
      <c r="C475" s="56">
        <v>0</v>
      </c>
      <c r="D475" s="56">
        <v>0</v>
      </c>
      <c r="E475" s="56">
        <v>0</v>
      </c>
      <c r="F475" s="56">
        <v>0</v>
      </c>
      <c r="G475" s="56">
        <v>0</v>
      </c>
      <c r="H475" s="56">
        <v>0</v>
      </c>
      <c r="I475" s="56">
        <v>0</v>
      </c>
      <c r="J475" s="56">
        <v>0</v>
      </c>
      <c r="K475" s="56">
        <v>0</v>
      </c>
      <c r="L475" s="56">
        <v>0</v>
      </c>
      <c r="M475" s="56">
        <v>0</v>
      </c>
      <c r="N475" s="56">
        <v>0</v>
      </c>
      <c r="O475" s="56">
        <v>0</v>
      </c>
      <c r="P475" s="56">
        <v>0</v>
      </c>
      <c r="Q475" s="56">
        <v>0</v>
      </c>
      <c r="R475" s="56">
        <v>0</v>
      </c>
      <c r="S475" s="56">
        <v>0</v>
      </c>
      <c r="T475" s="56">
        <v>0</v>
      </c>
      <c r="U475" s="56">
        <v>0</v>
      </c>
      <c r="V475" s="56">
        <v>0</v>
      </c>
      <c r="W475" s="56">
        <v>0</v>
      </c>
      <c r="X475" s="56">
        <v>0</v>
      </c>
      <c r="Y475" s="56">
        <v>0</v>
      </c>
      <c r="Z475" s="57">
        <v>0</v>
      </c>
    </row>
    <row r="476" spans="1:26" ht="15" thickBot="1" x14ac:dyDescent="0.35">
      <c r="A476" s="112" t="s">
        <v>313</v>
      </c>
    </row>
    <row r="477" spans="1:26" ht="15" thickBot="1" x14ac:dyDescent="0.35">
      <c r="A477" s="62" t="s">
        <v>88</v>
      </c>
      <c r="B477" s="55">
        <v>0.29064262147615649</v>
      </c>
      <c r="C477" s="56">
        <v>2.9963300362072509E-3</v>
      </c>
      <c r="D477" s="56">
        <v>0</v>
      </c>
      <c r="E477" s="56">
        <v>0</v>
      </c>
      <c r="F477" s="56">
        <v>3.8585429371227847E-3</v>
      </c>
      <c r="G477" s="56">
        <v>0</v>
      </c>
      <c r="H477" s="56">
        <v>7.7243832176331356E-6</v>
      </c>
      <c r="I477" s="56">
        <v>0</v>
      </c>
      <c r="J477" s="56">
        <v>1.9360790926422787E-3</v>
      </c>
      <c r="K477" s="56">
        <v>0</v>
      </c>
      <c r="L477" s="56">
        <v>1.4999441542522384E-3</v>
      </c>
      <c r="M477" s="56">
        <v>1.2304224679353295E-2</v>
      </c>
      <c r="N477" s="56">
        <v>1.0731704527748295E-2</v>
      </c>
      <c r="O477" s="56">
        <v>0</v>
      </c>
      <c r="P477" s="56">
        <v>0</v>
      </c>
      <c r="Q477" s="56">
        <v>1.3666071005741765E-2</v>
      </c>
      <c r="R477" s="56">
        <v>0</v>
      </c>
      <c r="S477" s="56">
        <v>1.961899773133691E-2</v>
      </c>
      <c r="T477" s="56">
        <v>0</v>
      </c>
      <c r="U477" s="56">
        <v>2.7123478933616756E-2</v>
      </c>
      <c r="V477" s="56">
        <v>0</v>
      </c>
      <c r="W477" s="56">
        <v>0</v>
      </c>
      <c r="X477" s="56">
        <v>0</v>
      </c>
      <c r="Y477" s="56">
        <v>0</v>
      </c>
      <c r="Z477" s="57">
        <v>0</v>
      </c>
    </row>
    <row r="478" spans="1:26" ht="15" thickBot="1" x14ac:dyDescent="0.35">
      <c r="A478" s="62" t="s">
        <v>89</v>
      </c>
      <c r="B478" s="44">
        <v>0.1162570485904626</v>
      </c>
      <c r="C478" s="38">
        <v>1.1985320144829005E-3</v>
      </c>
      <c r="D478" s="38">
        <v>0</v>
      </c>
      <c r="E478" s="38">
        <v>0</v>
      </c>
      <c r="F478" s="38">
        <v>1.543417174849114E-3</v>
      </c>
      <c r="G478" s="38">
        <v>0</v>
      </c>
      <c r="H478" s="38">
        <v>3.0897532870532543E-6</v>
      </c>
      <c r="I478" s="38">
        <v>0</v>
      </c>
      <c r="J478" s="38">
        <v>7.7443163705691147E-4</v>
      </c>
      <c r="K478" s="38">
        <v>0</v>
      </c>
      <c r="L478" s="38">
        <v>5.9997766170089538E-4</v>
      </c>
      <c r="M478" s="38">
        <v>4.9216898717413179E-3</v>
      </c>
      <c r="N478" s="38">
        <v>4.2926818110993184E-3</v>
      </c>
      <c r="O478" s="38">
        <v>0</v>
      </c>
      <c r="P478" s="38">
        <v>0</v>
      </c>
      <c r="Q478" s="38">
        <v>5.4664284022967061E-3</v>
      </c>
      <c r="R478" s="38">
        <v>0</v>
      </c>
      <c r="S478" s="38">
        <v>7.8475990925347648E-3</v>
      </c>
      <c r="T478" s="38">
        <v>0</v>
      </c>
      <c r="U478" s="38">
        <v>1.0849391573446703E-2</v>
      </c>
      <c r="V478" s="38">
        <v>0</v>
      </c>
      <c r="W478" s="38">
        <v>0</v>
      </c>
      <c r="X478" s="38">
        <v>0</v>
      </c>
      <c r="Y478" s="38">
        <v>0</v>
      </c>
      <c r="Z478" s="39">
        <v>0</v>
      </c>
    </row>
    <row r="479" spans="1:26" ht="15" thickBot="1" x14ac:dyDescent="0.35">
      <c r="A479" s="112" t="s">
        <v>81</v>
      </c>
      <c r="B479" s="170"/>
    </row>
    <row r="480" spans="1:26" ht="15" thickBot="1" x14ac:dyDescent="0.35">
      <c r="A480" s="169" t="s">
        <v>88</v>
      </c>
      <c r="B480" s="55">
        <v>6.3094623057779759E-3</v>
      </c>
      <c r="C480" s="56">
        <v>1.1890829464509926E-2</v>
      </c>
      <c r="D480" s="56">
        <v>0</v>
      </c>
      <c r="E480" s="56">
        <v>0</v>
      </c>
      <c r="F480" s="56">
        <v>1.1130766743250135E-2</v>
      </c>
      <c r="G480" s="56">
        <v>0</v>
      </c>
      <c r="H480" s="56">
        <v>2.8272050415356561E-5</v>
      </c>
      <c r="I480" s="56">
        <v>0</v>
      </c>
      <c r="J480" s="56">
        <v>1.2360393859477464E-2</v>
      </c>
      <c r="K480" s="56">
        <v>0</v>
      </c>
      <c r="L480" s="56">
        <v>4.5295863008517935E-3</v>
      </c>
      <c r="M480" s="56">
        <v>0.46703639673194097</v>
      </c>
      <c r="N480" s="56">
        <v>0.48521923588888205</v>
      </c>
      <c r="O480" s="56">
        <v>0</v>
      </c>
      <c r="P480" s="56">
        <v>0</v>
      </c>
      <c r="Q480" s="56">
        <v>0.12261059713555046</v>
      </c>
      <c r="R480" s="56">
        <v>0</v>
      </c>
      <c r="S480" s="56">
        <v>2.491561050453784E-2</v>
      </c>
      <c r="T480" s="56">
        <v>0</v>
      </c>
      <c r="U480" s="56">
        <v>0.28375862906744603</v>
      </c>
      <c r="V480" s="56">
        <v>0</v>
      </c>
      <c r="W480" s="56">
        <v>0</v>
      </c>
      <c r="X480" s="56">
        <v>0</v>
      </c>
      <c r="Y480" s="56">
        <v>0</v>
      </c>
      <c r="Z480" s="57">
        <v>0</v>
      </c>
    </row>
    <row r="481" spans="1:26" ht="15" thickBot="1" x14ac:dyDescent="0.35">
      <c r="A481" s="62" t="s">
        <v>89</v>
      </c>
      <c r="B481" s="51">
        <v>2.5237849223111904E-3</v>
      </c>
      <c r="C481" s="52">
        <v>4.7563317858039704E-3</v>
      </c>
      <c r="D481" s="52">
        <v>0</v>
      </c>
      <c r="E481" s="52">
        <v>0</v>
      </c>
      <c r="F481" s="52">
        <v>4.4523066973000541E-3</v>
      </c>
      <c r="G481" s="52">
        <v>0</v>
      </c>
      <c r="H481" s="52">
        <v>1.1308820166142625E-5</v>
      </c>
      <c r="I481" s="52">
        <v>0</v>
      </c>
      <c r="J481" s="52">
        <v>4.9441575437909856E-3</v>
      </c>
      <c r="K481" s="52">
        <v>0</v>
      </c>
      <c r="L481" s="52">
        <v>1.8118345203407176E-3</v>
      </c>
      <c r="M481" s="52">
        <v>0.18681455869277641</v>
      </c>
      <c r="N481" s="52">
        <v>0.19408769435555284</v>
      </c>
      <c r="O481" s="52">
        <v>0</v>
      </c>
      <c r="P481" s="52">
        <v>0</v>
      </c>
      <c r="Q481" s="52">
        <v>4.9044238854220185E-2</v>
      </c>
      <c r="R481" s="52">
        <v>0</v>
      </c>
      <c r="S481" s="52">
        <v>9.9662442018151366E-3</v>
      </c>
      <c r="T481" s="52">
        <v>0</v>
      </c>
      <c r="U481" s="52">
        <v>0.11350345162697842</v>
      </c>
      <c r="V481" s="52">
        <v>0</v>
      </c>
      <c r="W481" s="52">
        <v>0</v>
      </c>
      <c r="X481" s="52">
        <v>0</v>
      </c>
      <c r="Y481" s="52">
        <v>0</v>
      </c>
      <c r="Z481" s="53">
        <v>0</v>
      </c>
    </row>
    <row r="483" spans="1:26" ht="15" thickBot="1" x14ac:dyDescent="0.35">
      <c r="A483" s="1" t="s">
        <v>315</v>
      </c>
    </row>
    <row r="484" spans="1:26" x14ac:dyDescent="0.3">
      <c r="B484" s="171" t="s">
        <v>83</v>
      </c>
      <c r="C484" s="171" t="s">
        <v>84</v>
      </c>
    </row>
    <row r="485" spans="1:26" x14ac:dyDescent="0.3">
      <c r="A485" s="169" t="s">
        <v>88</v>
      </c>
      <c r="B485" s="58">
        <v>1.6266666187749038E-3</v>
      </c>
      <c r="C485" s="58">
        <v>9.6002265307034203E-3</v>
      </c>
    </row>
    <row r="486" spans="1:26" ht="15" thickBot="1" x14ac:dyDescent="0.35">
      <c r="A486" s="62" t="s">
        <v>89</v>
      </c>
      <c r="B486" s="59">
        <v>1.0166666367343149E-3</v>
      </c>
      <c r="C486" s="59">
        <v>6.0001415816896371E-3</v>
      </c>
    </row>
    <row r="488" spans="1:26" ht="31.2" x14ac:dyDescent="0.6">
      <c r="A488" s="16" t="s">
        <v>322</v>
      </c>
    </row>
    <row r="489" spans="1:26" s="41" customFormat="1" x14ac:dyDescent="0.3">
      <c r="A489" s="41" t="s">
        <v>333</v>
      </c>
    </row>
    <row r="490" spans="1:26" ht="15" thickBot="1" x14ac:dyDescent="0.35">
      <c r="A490" s="1" t="s">
        <v>316</v>
      </c>
    </row>
    <row r="491" spans="1:26" ht="15" thickBot="1" x14ac:dyDescent="0.35">
      <c r="A491" t="s">
        <v>317</v>
      </c>
      <c r="B491" s="68"/>
    </row>
    <row r="492" spans="1:26" x14ac:dyDescent="0.3">
      <c r="A492" s="85" t="s">
        <v>318</v>
      </c>
      <c r="B492" s="66">
        <v>3</v>
      </c>
    </row>
    <row r="493" spans="1:26" x14ac:dyDescent="0.3">
      <c r="A493" s="88" t="s">
        <v>321</v>
      </c>
      <c r="B493" s="58">
        <v>10</v>
      </c>
    </row>
    <row r="494" spans="1:26" ht="15" thickBot="1" x14ac:dyDescent="0.35">
      <c r="A494" s="91" t="s">
        <v>319</v>
      </c>
      <c r="B494" s="59">
        <v>2</v>
      </c>
    </row>
    <row r="495" spans="1:26" x14ac:dyDescent="0.3">
      <c r="A495" s="85" t="s">
        <v>320</v>
      </c>
      <c r="B495" s="66">
        <v>0.29249999999999998</v>
      </c>
    </row>
    <row r="497" spans="1:3" ht="31.8" thickBot="1" x14ac:dyDescent="0.65">
      <c r="A497" s="16" t="s">
        <v>323</v>
      </c>
    </row>
    <row r="498" spans="1:3" ht="15" thickBot="1" x14ac:dyDescent="0.35">
      <c r="A498" s="113" t="s">
        <v>324</v>
      </c>
      <c r="B498" s="114" t="s">
        <v>88</v>
      </c>
      <c r="C498" s="116" t="s">
        <v>89</v>
      </c>
    </row>
    <row r="499" spans="1:3" ht="72" x14ac:dyDescent="0.3">
      <c r="A499" s="26" t="s">
        <v>325</v>
      </c>
      <c r="B499" s="115">
        <v>0</v>
      </c>
      <c r="C499" s="115">
        <v>1</v>
      </c>
    </row>
    <row r="500" spans="1:3" ht="28.8" x14ac:dyDescent="0.3">
      <c r="A500" s="27" t="s">
        <v>69</v>
      </c>
      <c r="B500" s="72">
        <v>1</v>
      </c>
      <c r="C500" s="72">
        <v>1</v>
      </c>
    </row>
    <row r="501" spans="1:3" ht="28.8" x14ac:dyDescent="0.3">
      <c r="A501" s="27" t="s">
        <v>77</v>
      </c>
      <c r="B501" s="72">
        <v>1</v>
      </c>
      <c r="C501" s="72">
        <v>1</v>
      </c>
    </row>
    <row r="502" spans="1:3" ht="28.8" x14ac:dyDescent="0.3">
      <c r="A502" s="27" t="s">
        <v>67</v>
      </c>
      <c r="B502" s="72">
        <v>1</v>
      </c>
      <c r="C502" s="72">
        <v>1</v>
      </c>
    </row>
    <row r="503" spans="1:3" x14ac:dyDescent="0.3">
      <c r="A503" s="27" t="s">
        <v>68</v>
      </c>
      <c r="B503" s="72">
        <v>1</v>
      </c>
      <c r="C503" s="72">
        <v>1</v>
      </c>
    </row>
    <row r="504" spans="1:3" ht="28.8" x14ac:dyDescent="0.3">
      <c r="A504" s="27" t="s">
        <v>70</v>
      </c>
      <c r="B504" s="72">
        <v>1</v>
      </c>
      <c r="C504" s="72">
        <v>1</v>
      </c>
    </row>
    <row r="505" spans="1:3" ht="28.8" x14ac:dyDescent="0.3">
      <c r="A505" s="27" t="s">
        <v>71</v>
      </c>
      <c r="B505" s="72">
        <v>1</v>
      </c>
      <c r="C505" s="72">
        <v>1</v>
      </c>
    </row>
    <row r="506" spans="1:3" x14ac:dyDescent="0.3">
      <c r="A506" s="27" t="s">
        <v>72</v>
      </c>
      <c r="B506" s="72">
        <v>1</v>
      </c>
      <c r="C506" s="72">
        <v>1</v>
      </c>
    </row>
    <row r="507" spans="1:3" ht="28.8" x14ac:dyDescent="0.3">
      <c r="A507" s="27" t="s">
        <v>73</v>
      </c>
      <c r="B507" s="72">
        <v>1</v>
      </c>
      <c r="C507" s="72">
        <v>1</v>
      </c>
    </row>
    <row r="508" spans="1:3" ht="28.8" x14ac:dyDescent="0.3">
      <c r="A508" s="27" t="s">
        <v>74</v>
      </c>
      <c r="B508" s="72">
        <v>1</v>
      </c>
      <c r="C508" s="72">
        <v>1</v>
      </c>
    </row>
    <row r="509" spans="1:3" ht="28.8" x14ac:dyDescent="0.3">
      <c r="A509" s="27" t="s">
        <v>75</v>
      </c>
      <c r="B509" s="72">
        <v>1</v>
      </c>
      <c r="C509" s="72">
        <v>1</v>
      </c>
    </row>
    <row r="510" spans="1:3" ht="43.2" x14ac:dyDescent="0.3">
      <c r="A510" s="27" t="s">
        <v>76</v>
      </c>
      <c r="B510" s="72">
        <v>1</v>
      </c>
      <c r="C510" s="72">
        <v>1</v>
      </c>
    </row>
    <row r="511" spans="1:3" ht="28.8" x14ac:dyDescent="0.3">
      <c r="A511" s="27" t="s">
        <v>326</v>
      </c>
      <c r="B511" s="72">
        <v>0</v>
      </c>
      <c r="C511" s="72">
        <v>0</v>
      </c>
    </row>
    <row r="512" spans="1:3" ht="28.8" x14ac:dyDescent="0.3">
      <c r="A512" s="27" t="s">
        <v>327</v>
      </c>
      <c r="B512" s="72">
        <v>0</v>
      </c>
      <c r="C512" s="72">
        <v>0</v>
      </c>
    </row>
    <row r="513" spans="1:3" ht="43.8" thickBot="1" x14ac:dyDescent="0.35">
      <c r="A513" s="47" t="s">
        <v>328</v>
      </c>
      <c r="B513" s="73">
        <v>0</v>
      </c>
      <c r="C513" s="73">
        <v>0</v>
      </c>
    </row>
  </sheetData>
  <mergeCells count="4">
    <mergeCell ref="D145:D146"/>
    <mergeCell ref="E145:E146"/>
    <mergeCell ref="C145:C146"/>
    <mergeCell ref="C280:C28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20</vt:i4>
      </vt:variant>
    </vt:vector>
  </HeadingPairs>
  <TitlesOfParts>
    <vt:vector size="23" baseType="lpstr">
      <vt:lpstr>Readme</vt:lpstr>
      <vt:lpstr>Sectors</vt:lpstr>
      <vt:lpstr>Model_variables</vt:lpstr>
      <vt:lpstr>A_MATRIX_2030</vt:lpstr>
      <vt:lpstr>A_MATRIX_2100</vt:lpstr>
      <vt:lpstr>ALPHA_OUTPUT_LOSSES_A_MATRIX</vt:lpstr>
      <vt:lpstr>BETA_OUTPUT_LOSSES_A_MATRIX</vt:lpstr>
      <vt:lpstr>CAPITAL_INTENSITY_2100</vt:lpstr>
      <vt:lpstr>DISPOSABLE_LAND_FOR_FOODLAND_AND_FOREST</vt:lpstr>
      <vt:lpstr>EARLY_DESIRED_CONSUMPTION_GROWTH_RATE_SP</vt:lpstr>
      <vt:lpstr>EARLY_TARGET_SHARE_OF_EACH_SECTOR_IN_GOVERNMENT_CONSUMPTION_SP</vt:lpstr>
      <vt:lpstr>GAMMA_OUTPUT_LOSSES_A_MATRIX</vt:lpstr>
      <vt:lpstr>INEQUALITY_FACTORS_SP</vt:lpstr>
      <vt:lpstr>LATE_TARGET_SHARE_OF_EACH_SECTOR_IN_GOVERNMENT_CONSUMPTION_SP</vt:lpstr>
      <vt:lpstr>LATE_TARGET_SHARE_OF_EACH_SECTOR_IN_GROSS_FIXED_CAPITAL_FOMATION</vt:lpstr>
      <vt:lpstr>MAXIMUM_DEPRECIATION_RATE_CAUSED_BY_SEA_LEVEL_RISE_2°C_SP</vt:lpstr>
      <vt:lpstr>MAXIMUM_DEPRECIATION_RATE_CAUSED_BY_SEA_LEVEL_RISE_3°C_SP</vt:lpstr>
      <vt:lpstr>MAXIMUM_DEPRECIATION_RATE_CAUSED_BY_SEA_LEVEL_RISE_4°C_SP</vt:lpstr>
      <vt:lpstr>Scenario_Number</vt:lpstr>
      <vt:lpstr>SECTORAL_SHARES_OF_DAMAGES_IN_CAPITAL_STOCK</vt:lpstr>
      <vt:lpstr>SIGMA_SLR_SP</vt:lpstr>
      <vt:lpstr>TARGET_CONSUMPTION_PERIPHERY_LOW_SP</vt:lpstr>
      <vt:lpstr>time_inequality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LuisLlases</dc:creator>
  <cp:lastModifiedBy>ARTHUR HAOYU LAUER</cp:lastModifiedBy>
  <dcterms:created xsi:type="dcterms:W3CDTF">2015-06-05T18:17:20Z</dcterms:created>
  <dcterms:modified xsi:type="dcterms:W3CDTF">2025-11-15T23:21:51Z</dcterms:modified>
</cp:coreProperties>
</file>