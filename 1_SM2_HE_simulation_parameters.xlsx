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1_MORDRED_PROJECT\3_model_exploitation_251028\PAPER1_SC1_final\writing\"/>
    </mc:Choice>
  </mc:AlternateContent>
  <xr:revisionPtr revIDLastSave="0" documentId="13_ncr:1_{671D167B-2EED-420B-A950-5B4F129B8AA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opulation" sheetId="1" r:id="rId1"/>
    <sheet name="Economy" sheetId="2" r:id="rId2"/>
    <sheet name="Labour" sheetId="3" r:id="rId3"/>
    <sheet name="Energy" sheetId="7" r:id="rId4"/>
    <sheet name="Land" sheetId="4" r:id="rId5"/>
    <sheet name="Stressors" sheetId="10" r:id="rId6"/>
    <sheet name="Switches" sheetId="9" r:id="rId7"/>
  </sheets>
  <definedNames>
    <definedName name="A_2019_biophyiscal">#REF!</definedName>
    <definedName name="A_2019_biophysical">#REF!</definedName>
    <definedName name="A_2019_P">#REF!</definedName>
    <definedName name="A_2019_PR">#REF!</definedName>
    <definedName name="A_2019_PRG">#REF!</definedName>
    <definedName name="A_2100">#REF!</definedName>
    <definedName name="A_MATRIX_2060">Economy!#REF!</definedName>
    <definedName name="A_MATRIX_2100">Economy!$B$4:$Z$28</definedName>
    <definedName name="A2019_PRGE">#REF!</definedName>
    <definedName name="ALPHA_DAMAGE_LABOUR_PRODUCTIVITY">Labour!$D$21:$AB$21</definedName>
    <definedName name="ALPHA_DAMAGE_LABOUR_SUPPLY">Labour!$D$25</definedName>
    <definedName name="ALPHA_DEPENDENT_POPULATION">Population!$D$10</definedName>
    <definedName name="ALPHA_LAND_SUBSISTENCE_DAMAGE">Land!$C$29</definedName>
    <definedName name="ALPHA_OUTPUT_LOSSES_A_MATRIX">Economy!$D$90</definedName>
    <definedName name="ALPHA_SUPPORTING_INDUSTRY">Population!$D$11</definedName>
    <definedName name="Amatrix_2019">#REF!</definedName>
    <definedName name="AMOUNT_OF_LAND_TO_PROTECT">Land!#REF!</definedName>
    <definedName name="ANNUAL_WORKING_HOURS">Labour!$C$9</definedName>
    <definedName name="BETA_0_EXTRACTION">Energy!$D$12</definedName>
    <definedName name="BETA_0_FORMAL_ECONOMY_TO_SUBSISTENCE">Population!$D$5</definedName>
    <definedName name="BETA_1_EXTRACTION">Energy!$D$13</definedName>
    <definedName name="BETA_1_FORMAL_ECONOMY_TO_SUBSISTENCE">Population!$D$6</definedName>
    <definedName name="BETA_1_SUBSISTENCE_TO_FORMAL_ECONOMY">Population!$D$4</definedName>
    <definedName name="BETA_2_SSP">Economy!#REF!</definedName>
    <definedName name="BETA_3_SSP">Economy!#REF!</definedName>
    <definedName name="BETA_OUTPUT_LOSSES_A_MATRIX">Economy!$D$91</definedName>
    <definedName name="BETA1_SSP">Economy!#REF!</definedName>
    <definedName name="CAPITAL_INTENSITY_2100">Economy!$C$65:$AA$65</definedName>
    <definedName name="consumption_vectors_2019">#REF!</definedName>
    <definedName name="CV_2019_RG">#REF!</definedName>
    <definedName name="CV_2100">#REF!</definedName>
    <definedName name="CV_2100_not_weighted">#REF!</definedName>
    <definedName name="CV_biophyiscal">#REF!</definedName>
    <definedName name="CV_RGE">#REF!</definedName>
    <definedName name="CV2019_biophysical">#REF!</definedName>
    <definedName name="CV2019_R">#REF!</definedName>
    <definedName name="CV2100_final">#REF!</definedName>
    <definedName name="DESIRED_CONSUMPTION_GROWTH_RATE_SP">Economy!$D$32:$F$34</definedName>
    <definedName name="Electrification_potential">#REF!</definedName>
    <definedName name="energy_improvement_factor">#REF!</definedName>
    <definedName name="Equilibrium_climate_sensitivity">#REF!</definedName>
    <definedName name="Final_energy_intensities">#REF!</definedName>
    <definedName name="Final_energy_intensities_2019">#REF!</definedName>
    <definedName name="from_distribution_excel_sheet">#REF!</definedName>
    <definedName name="G">#REF!</definedName>
    <definedName name="G_reduction_lot_ff">#REF!</definedName>
    <definedName name="G_reduction_lot_nuc">#REF!</definedName>
    <definedName name="GAMMA_OUTPUT_LOSSES_A_MATRIX">Economy!$D$92</definedName>
    <definedName name="growth_rate_consumption_per_class">#REF!</definedName>
    <definedName name="infrastructure_intensity_2019">#REF!</definedName>
    <definedName name="INITIAL_RECOVERABLE_RESOURCES_OF_FOSSIL_FUELS">Energy!$D$8</definedName>
    <definedName name="MAXIMUM_DEPRECIATION_RATE_CAUSED_BY_SEA_LEVEL_RISE_2°C_SP">Economy!$D$69</definedName>
    <definedName name="MAXIMUM_DEPRECIATION_RATE_CAUSED_BY_SEA_LEVEL_RISE_3°C_SP">Economy!$D$70</definedName>
    <definedName name="MAXIMUM_DEPRECIATION_RATE_CAUSED_BY_SEA_LEVEL_RISE_4°C_SP">Economy!$D$71</definedName>
    <definedName name="MAXIMUM_FOODLAND_LOSS_CAUSED_BY_CLIMATE_CHANGE">Land!$C$25</definedName>
    <definedName name="MAXIMUM_LAND_LOSS_CAUSED_BY_CLIMATE_CHANGE">Land!$C$19</definedName>
    <definedName name="MAXIMUM_PARTICIPATION_RATE_SP">Labour!$C$16</definedName>
    <definedName name="MAXIMUM_SHARE_OF_EXTRACTABLE_FOSSIL_FUEL_RESOURCES_PER_YEAR_SP">Energy!$C$4</definedName>
    <definedName name="other_land_improvement_factor">#REF!</definedName>
    <definedName name="other_land_intensity_center_2019">#REF!</definedName>
    <definedName name="OUTPUT_LOSSES_FACTOR">Economy!$D$85:$AB$85</definedName>
    <definedName name="PEXTRA_DEMAND_MP">Economy!$D$42:$P$42</definedName>
    <definedName name="PEXTRA_FOODLAND_FOREST_MP">Land!#REF!</definedName>
    <definedName name="PEXTRA_LAND_MP">Land!$D$14:$L$14</definedName>
    <definedName name="PEXTRA_REST_OF_THE_LANDS_MP">Land!#REF!</definedName>
    <definedName name="PPRIORITY_DEMAND_MP">Economy!$D$39:$P$39</definedName>
    <definedName name="PPRIORITY_FOODLAND_FOREST_MP">Land!#REF!</definedName>
    <definedName name="PPRIORITY_LAND_MP">Land!$D$12:$L$12</definedName>
    <definedName name="PPRIORITY_REST_OF_THE_LANDS_MP">Land!#REF!</definedName>
    <definedName name="PPRIORIY_PROTECTION_LAND_SP">Land!#REF!</definedName>
    <definedName name="process_efficiency_coefficient">#REF!</definedName>
    <definedName name="PTYPE_DEMAND_MP">Economy!$D$38:$P$38</definedName>
    <definedName name="PTYPE_FOODLAND_FOREST_MP">Land!#REF!</definedName>
    <definedName name="PTYPE_LAND_MP">Land!$D$11:$L$11</definedName>
    <definedName name="PTYPE_REST_OF_THE_LANDS_MP">Land!#REF!</definedName>
    <definedName name="PWIDTH_DEMAND_MP">Economy!$D$41:$P$41</definedName>
    <definedName name="PWIDTH_FOODLAND_FOREST_MP">Land!#REF!</definedName>
    <definedName name="PWIDTH_LAND_MP">Land!$D$13:$L$13</definedName>
    <definedName name="PWIDTH_REST_OF_THE_LANDS_MP">Land!#REF!</definedName>
    <definedName name="Reference_Sensitivity_of_C_from_Permafrost_and_Clathrate_to_Temperature">#REF!</definedName>
    <definedName name="Reference_Sensitivity_of_CH4_from_Permafrost_and_Clathrate_to_Temperature">#REF!</definedName>
    <definedName name="SECTORAL_SHARES_OF_DAMAGES_IN_CAPITAL_STOCK">Economy!$D$76:$AB$76</definedName>
    <definedName name="Sensitivity_of_C_Uptake_to_Temperature">Switches!$B$15</definedName>
    <definedName name="Sensitivity_of_Methane_Emissions_to_Permafrost_and_Clathrate">Switches!$B$17</definedName>
    <definedName name="Sensitivity_of_Methane_Emissions_to_Temperature">Switches!$B$16</definedName>
    <definedName name="SIGMA_SLR_SP">Economy!$D$72</definedName>
    <definedName name="SWITCH_DAMAGES_ON_LABOUR_PRODUCTIVITY_BY_HEAT_SP">Switches!$B$11</definedName>
    <definedName name="SWITCH_DEPRECIATION_RATE_CAUSED_BY_CLIMATE_CHANGE_SP">Switches!$B$8</definedName>
    <definedName name="SWITCH_DEPRECIATION_RATE_CAUSED_BY_SEA_LEVEL_RISE_SP">Switches!$B$9</definedName>
    <definedName name="SWITCH_FOSSIL_FUELS_EXTRACTION_DIFFICULTY_FACTOR_SP">Switches!$B$6</definedName>
    <definedName name="SWITCH_FOSSIL_FUELS_RATIONING_SCARCITY_FACTOR">Switches!$B$5</definedName>
    <definedName name="SWITCH_GROWTH_SLOWDOWN_SP">Switches!$B$3</definedName>
    <definedName name="SWITCH_LABOUR_SCARCITY_FACTOR">Switches!$B$4</definedName>
    <definedName name="SWITCH_LAND_LOSS_CAUSED_BY_CLIMATE_CHANGE_SP">Switches!$B$13</definedName>
    <definedName name="SWITCH_LAND_SCARCITY_FACTOR_SP">Switches!$B$7</definedName>
    <definedName name="SWITCH_LOSSES_LABOUR_SUPPLY_BY_HEAT_SP">Switches!$B$12</definedName>
    <definedName name="SWITCH_OUTPUT_LOSS_FACTOR_SP">Switches!$B$10</definedName>
    <definedName name="SWITCH_SSP_SECTORS_VARIATION_FACTOR">Switches!#REF!</definedName>
    <definedName name="SWITCH_SUBSISTENCE_LAND_INTENSITY_DUE_TO_CLIMATE_CHANGE_SP">Switches!$B$14</definedName>
    <definedName name="TARGET_AIR_POLLUTION_SECTORIAL_INTENSITY">#REF!</definedName>
    <definedName name="target_capital_intensity_2100">#REF!</definedName>
    <definedName name="TARGET_CONSUMPTION_SHARE_1">Economy!$E$56:$AC$56</definedName>
    <definedName name="TARGET_CONSUMPTION_SHARE_2">Economy!$E$58:$AC$58</definedName>
    <definedName name="TARGET_CONSUMPTION_SHARE_3">Economy!$E$60:$AC$60</definedName>
    <definedName name="TARGET_GREENHOUSE_GAS_EMISSIONS_INTENSITY">#REF!</definedName>
    <definedName name="target_labor_intensity_2100">#REF!</definedName>
    <definedName name="TARGET_LABOUR_INTENSITY">Labour!$D$4:$AB$4</definedName>
    <definedName name="target_land_intensities_energyland">#REF!</definedName>
    <definedName name="TARGET_LAND_INTENSITIES_SP">Land!$C$4:$AA$7</definedName>
    <definedName name="TARGET_NITROGEN_AND_PHOSPHORUS_POLLUTION_INTENSITY_OF_AGRICULTURE_SP">#REF!</definedName>
    <definedName name="TARGET_SHARE_OF_EACH_SECTOR_IN_GOVERNMENT_CONSUMPTION_SP">Economy!$C$46:$AA$46</definedName>
    <definedName name="TARGET_SHARE_OF_EACH_SECTOR_IN_GROSS_FIXED_CAPITAL_FOMATION">Economy!$C$51:$AA$51</definedName>
    <definedName name="TARGET_SUBSISTENCE_LAND_INTENSITY">Land!#REF!</definedName>
    <definedName name="TARGET_WATER_CONSUMPTION_INDUSTRIAL_INTENSITY_SP">#REF!</definedName>
    <definedName name="TARGET_WATER_CONSUMPTION_INTENSITY_OF_HOUSEHOLDS_SP">#REF!</definedName>
    <definedName name="TARGET_WATER_WITHDRAWAL_INDUSTRIAL_INTENSITY_SP">#REF!</definedName>
    <definedName name="TARGET_WATER_WITHDRAWAL_INTENSITY_OF_HOUSEHOLD_SP">#REF!</definedName>
    <definedName name="Temperature_Threshold_for_Methane_Emissions_from_Permafrost_and_Clathrate">#REF!</definedName>
    <definedName name="TOTAL_EXTRA_INVESTMENT_DUE_TO_SEA_LEVEL_RISE">Economy!$D$81:$AB$81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2" l="1"/>
  <c r="C9" i="3"/>
  <c r="C25" i="4" l="1"/>
</calcChain>
</file>

<file path=xl/sharedStrings.xml><?xml version="1.0" encoding="utf-8"?>
<sst xmlns="http://schemas.openxmlformats.org/spreadsheetml/2006/main" count="285" uniqueCount="178">
  <si>
    <t>sectors</t>
  </si>
  <si>
    <t>CONSUMPTION GROWTH RATE</t>
  </si>
  <si>
    <t>Description</t>
  </si>
  <si>
    <t>Units</t>
  </si>
  <si>
    <t>High</t>
  </si>
  <si>
    <t>Medium</t>
  </si>
  <si>
    <t>Low</t>
  </si>
  <si>
    <t>Consumption per capita</t>
  </si>
  <si>
    <t>Center</t>
  </si>
  <si>
    <t>Periphery</t>
  </si>
  <si>
    <t>Semiperiphery</t>
  </si>
  <si>
    <t>TARGET INTENSITIES</t>
  </si>
  <si>
    <t>Ptype</t>
  </si>
  <si>
    <t>dmnl</t>
  </si>
  <si>
    <t>Ppriority</t>
  </si>
  <si>
    <t>Pwidth</t>
  </si>
  <si>
    <t>Pextra</t>
  </si>
  <si>
    <t>Investment</t>
  </si>
  <si>
    <t>Government center</t>
  </si>
  <si>
    <t>Government semiperiphery</t>
  </si>
  <si>
    <t>Government periphery</t>
  </si>
  <si>
    <t>Consumption center high</t>
  </si>
  <si>
    <t>Consumption center medium</t>
  </si>
  <si>
    <t>Consumption center low</t>
  </si>
  <si>
    <t>Consumption semiperiphery high</t>
  </si>
  <si>
    <t>Consumption semiperiphery medium</t>
  </si>
  <si>
    <t>Consumption semiperiphery low</t>
  </si>
  <si>
    <t>Consumption periphery high</t>
  </si>
  <si>
    <t>Consumption periphery low</t>
  </si>
  <si>
    <t>Consumption periphery medium</t>
  </si>
  <si>
    <t>PARAMETERS ALLOCATE FINAL DEMAND</t>
  </si>
  <si>
    <t>Parameters of the ALLOCATE function which is used to distribute total final demand by the different demand components.</t>
  </si>
  <si>
    <t>TARGET LAND INTENSITIES</t>
  </si>
  <si>
    <t>shrub</t>
  </si>
  <si>
    <t>infrastructure</t>
  </si>
  <si>
    <t>food_land_capitalism</t>
  </si>
  <si>
    <t>food_land_subsistence</t>
  </si>
  <si>
    <t>primary_forest</t>
  </si>
  <si>
    <t>secondary_forest</t>
  </si>
  <si>
    <t>other_land</t>
  </si>
  <si>
    <t>Capital intensity</t>
  </si>
  <si>
    <t>Maximum share of extractable fossil fuel resources per year</t>
  </si>
  <si>
    <t>LIMITS TO THE EXTRACTION OF FOSSIL RESOURCES</t>
  </si>
  <si>
    <t>Value</t>
  </si>
  <si>
    <t>forest_land</t>
  </si>
  <si>
    <t>PARAMETERS ALLOCATE LAND</t>
  </si>
  <si>
    <t>ANNUAL WORKING HOURS</t>
  </si>
  <si>
    <t>annual working hours per person</t>
  </si>
  <si>
    <t>max hours per day</t>
  </si>
  <si>
    <t>max days per week</t>
  </si>
  <si>
    <t>weeks per year</t>
  </si>
  <si>
    <t>MAXIMUM PARTICIPATION RATE</t>
  </si>
  <si>
    <t>Maximum participation rate</t>
  </si>
  <si>
    <t>MOBILITY PARAMETERS BETWEEN SUBSISTENCE AND FORMAL ECONOMY</t>
  </si>
  <si>
    <t>Beta 1 subsistence to formal economy</t>
  </si>
  <si>
    <t>Dmnl</t>
  </si>
  <si>
    <t>Beta 0 formal economy to subsistence</t>
  </si>
  <si>
    <t>Beta 1 formal economy to subsistence</t>
  </si>
  <si>
    <t>SECTORAL SHARES OF DAMAGES IN CAPITAL STOCK</t>
  </si>
  <si>
    <t>WORLD_min</t>
  </si>
  <si>
    <t>WORLD_max</t>
  </si>
  <si>
    <t>DAMAGES IN CAPITAL STOCK DUE TO SLR</t>
  </si>
  <si>
    <t>mio€</t>
  </si>
  <si>
    <t>loss_factor_capital</t>
  </si>
  <si>
    <t>INCREASE IN INPUT COEFFICIENTS A MATRIX DUE TO OUTPUT LOSSES</t>
  </si>
  <si>
    <t>alpha</t>
  </si>
  <si>
    <t>beta</t>
  </si>
  <si>
    <t>gamma</t>
  </si>
  <si>
    <t>OUTPUT LOSSES FACTOR (CAPITAL, LABOUR AND LAND)</t>
  </si>
  <si>
    <t>factor</t>
  </si>
  <si>
    <t xml:space="preserve">LOSSES OF LABOR PRODUCTIVITY DUE TO HEAT </t>
  </si>
  <si>
    <t>alpha_D_Lprod_heat</t>
  </si>
  <si>
    <t>LOSSES OF MAX LABOR SUPPLY DUE TO HEAT</t>
  </si>
  <si>
    <t xml:space="preserve"> </t>
  </si>
  <si>
    <t>alpha_D_Lsupply</t>
  </si>
  <si>
    <t>share deadly heat days</t>
  </si>
  <si>
    <t>Values</t>
  </si>
  <si>
    <t>RECOVERABLE RESOURCES IN 2019</t>
  </si>
  <si>
    <t>EJ</t>
  </si>
  <si>
    <t>PARAMETERS OF EXTRACTION COST FUNCTION</t>
  </si>
  <si>
    <t>Beta 0 extraction</t>
  </si>
  <si>
    <t>Beta 1 extraction</t>
  </si>
  <si>
    <t>DAMAGE FACTOR ON SUBSISTENCE LAND INTENSITY</t>
  </si>
  <si>
    <t>alpha_D_subsistence_intensity</t>
  </si>
  <si>
    <t>LAND LOSS CLIMATE CHANGE</t>
  </si>
  <si>
    <t>Total_loss_general</t>
  </si>
  <si>
    <t>km²</t>
  </si>
  <si>
    <t>Total_loss_foodland</t>
  </si>
  <si>
    <t>FOODLAND LOSS CLIMATE CHANGE</t>
  </si>
  <si>
    <t>Additional GFCF due to see level rise</t>
  </si>
  <si>
    <t>ADDITIONAL GROSS FIXED CAPITAL FORMATION DUE TO SEA LEVEL RISE</t>
  </si>
  <si>
    <t>TARGET CAPITAL INTENSITIES</t>
  </si>
  <si>
    <t>Maximum depreciation rate caused by see level rise 2ºC</t>
  </si>
  <si>
    <t>Sigma SLR</t>
  </si>
  <si>
    <t>Parameters of the Gaussian function marking an additional depreciation in the capital stock during a certain interval of years when 2, 3 and 4 degrees are exceeded.</t>
  </si>
  <si>
    <t>Consumption share</t>
  </si>
  <si>
    <t>Share of total consumption corresponding to the different sectors according to consumption level.</t>
  </si>
  <si>
    <t>Switch fossil fuels extraction difficulty factor</t>
  </si>
  <si>
    <t>Switch land scarcity factor</t>
  </si>
  <si>
    <t>Switch labour scarcity factor</t>
  </si>
  <si>
    <t>Switch capital depreciation caused by climate change</t>
  </si>
  <si>
    <t>Switch damages by sea level rise</t>
  </si>
  <si>
    <t>Switch output loss factor</t>
  </si>
  <si>
    <t>Switch damages on labour productivity due to heat</t>
  </si>
  <si>
    <t>Switch labour supply losses by heat</t>
  </si>
  <si>
    <t>Switch land losses caused by climate change</t>
  </si>
  <si>
    <t>Switch subsistence land intensity due to climate change</t>
  </si>
  <si>
    <t>Switch fossil fuels rationing scarcity factor</t>
  </si>
  <si>
    <t>PARAMETERS URBANIZATION INDICATOR</t>
  </si>
  <si>
    <t>Alpha dependent population</t>
  </si>
  <si>
    <t>Alpha supporting industry</t>
  </si>
  <si>
    <t>A MATRIX 2100</t>
  </si>
  <si>
    <t>RELATION 1 (peri)</t>
  </si>
  <si>
    <t>RELATION 2 (semi)</t>
  </si>
  <si>
    <t>RELATION 3 (center)</t>
  </si>
  <si>
    <t>Switch growth slowdown</t>
  </si>
  <si>
    <t>TARGET CONSUMPTION VECTOR GOVERNMENTS</t>
  </si>
  <si>
    <t>Target government consumption vector</t>
  </si>
  <si>
    <t>TARGET CONSUMPTION VECTOR GFCF</t>
  </si>
  <si>
    <t>Target GFCF consumption vector</t>
  </si>
  <si>
    <t>TARGET CONSUMPTION VECTOR</t>
  </si>
  <si>
    <t>Dmnl / € per year</t>
  </si>
  <si>
    <t xml:space="preserve">These values are reached for 4 degree of temperature increase. First row indicates lower end damage, second row upper end damage. For the scenario simulation, the lower end values are used. </t>
  </si>
  <si>
    <t>Building of dams to protect against flooding due to sea level rise.</t>
  </si>
  <si>
    <t>As output gets lost,  capital  productivity declines</t>
  </si>
  <si>
    <t>Mio h/Mio €</t>
  </si>
  <si>
    <t>h/person/year</t>
  </si>
  <si>
    <t>h/day</t>
  </si>
  <si>
    <t>days/week</t>
  </si>
  <si>
    <t>weeks/year</t>
  </si>
  <si>
    <t>Productivity loss due to temperature changes</t>
  </si>
  <si>
    <t>share low resistance workers</t>
  </si>
  <si>
    <t>Losses of labor supply factor derived by multiplying the share of deadly heat days per year with the share of workers without high heat resistance.</t>
  </si>
  <si>
    <t>All fossil fuel resources as estimated by the BGR (2020).</t>
  </si>
  <si>
    <t>Increase in input requirements modeled as exponential function which depends on the amount of remaining fossil resources.</t>
  </si>
  <si>
    <t>Total Fossil Fuels (Oil + Gas + Coal)</t>
  </si>
  <si>
    <t>Total foodland lost until 2100 due to river flooding</t>
  </si>
  <si>
    <t>Total foodland lost until 2100 due to temperature and humidity change</t>
  </si>
  <si>
    <t>Land used for energy generation</t>
  </si>
  <si>
    <t>km²/mio€</t>
  </si>
  <si>
    <t>Land used by the food sector (Cropland &amp; Pastures)</t>
  </si>
  <si>
    <t>Land used by the non-energy biomass sector (forest land)</t>
  </si>
  <si>
    <t>Other land used by the food and the biomass sector</t>
  </si>
  <si>
    <t>Parameters of the Vensim ALLOCATE function which is used to distribute different land types.</t>
  </si>
  <si>
    <t>Sensitivity of C uptake to temperature</t>
  </si>
  <si>
    <t>Sensitivity of CH4 emissions to temperature</t>
  </si>
  <si>
    <t>Sensitivity of CH4 emissions to permafrost and clathrate melting</t>
  </si>
  <si>
    <t>SWITCHES</t>
  </si>
  <si>
    <t>LAND</t>
  </si>
  <si>
    <t>ENERGY</t>
  </si>
  <si>
    <t>LABOUR</t>
  </si>
  <si>
    <t>ECONOMY</t>
  </si>
  <si>
    <t>POPULATION</t>
  </si>
  <si>
    <t>Parameters for calculating the ratio of population moving from subsistence to the formal economy and vice versa</t>
  </si>
  <si>
    <t>energy_land</t>
  </si>
  <si>
    <t>Factor to be multiplied with the input coefficients column of sector 1 if temperature reaches 4 degrees.</t>
  </si>
  <si>
    <t>Ppriority (Baseline, SV4)</t>
  </si>
  <si>
    <t>Ppriority (Baseline, SV1-3)</t>
  </si>
  <si>
    <t>Labour intensity (Baseline, SV1, SV2, SV4)</t>
  </si>
  <si>
    <t>Labour intensity (SV3)</t>
  </si>
  <si>
    <t>2019 productivity values for the CENTER</t>
  </si>
  <si>
    <t>20% below the 2019 productivity values for the CENTER</t>
  </si>
  <si>
    <t>Value (1=feedback,0=no feedback) (Baseline, SV1, SV3, SV4)</t>
  </si>
  <si>
    <t>Value (1=feedback,0=no feedback) (SV2)</t>
  </si>
  <si>
    <t>CO2</t>
  </si>
  <si>
    <t>MtCO2/mio€</t>
  </si>
  <si>
    <t>CH4</t>
  </si>
  <si>
    <t>MtCH4/mio€</t>
  </si>
  <si>
    <t>N2O</t>
  </si>
  <si>
    <t>MtN2O/mio€</t>
  </si>
  <si>
    <t>SF6</t>
  </si>
  <si>
    <t>tonsSF6/mio€</t>
  </si>
  <si>
    <t>HFC</t>
  </si>
  <si>
    <t>tons/mio€</t>
  </si>
  <si>
    <t>PFC</t>
  </si>
  <si>
    <t>TARGET NON-COMBUSTION RELATED GREENHOUSE GAS EMISSIONS INTENSITY</t>
  </si>
  <si>
    <t>Baseline, SV2-4</t>
  </si>
  <si>
    <t>SV1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</si>
</sst>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0" fillId="3" borderId="3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9" xfId="0" applyFont="1" applyFill="1" applyBorder="1" applyAlignment="1">
      <alignment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4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vertical="center" wrapText="1"/>
    </xf>
    <xf numFmtId="0" fontId="0" fillId="3" borderId="26" xfId="0" applyFill="1" applyBorder="1" applyAlignment="1">
      <alignment vertical="center" wrapText="1"/>
    </xf>
    <xf numFmtId="11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33" xfId="0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0" fillId="3" borderId="38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4" borderId="0" xfId="0" applyFont="1" applyFill="1"/>
    <xf numFmtId="0" fontId="0" fillId="4" borderId="0" xfId="0" applyFill="1"/>
    <xf numFmtId="0" fontId="0" fillId="3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3" borderId="49" xfId="0" applyFill="1" applyBorder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3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4" fillId="0" borderId="0" xfId="0" applyFont="1"/>
    <xf numFmtId="0" fontId="0" fillId="3" borderId="5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vertical="center"/>
    </xf>
    <xf numFmtId="0" fontId="1" fillId="2" borderId="46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0" fillId="3" borderId="57" xfId="0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56" xfId="0" applyFill="1" applyBorder="1" applyAlignment="1">
      <alignment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0" fillId="3" borderId="59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2" fillId="3" borderId="60" xfId="0" applyFont="1" applyFill="1" applyBorder="1" applyAlignment="1">
      <alignment horizontal="center" vertical="center" wrapText="1"/>
    </xf>
    <xf numFmtId="0" fontId="0" fillId="3" borderId="41" xfId="0" applyFill="1" applyBorder="1" applyAlignment="1">
      <alignment horizontal="left" vertical="center" wrapText="1"/>
    </xf>
    <xf numFmtId="0" fontId="0" fillId="3" borderId="42" xfId="0" applyFill="1" applyBorder="1" applyAlignment="1">
      <alignment horizontal="left" vertical="center" wrapText="1"/>
    </xf>
    <xf numFmtId="0" fontId="0" fillId="3" borderId="43" xfId="0" applyFill="1" applyBorder="1" applyAlignment="1">
      <alignment horizontal="left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3" borderId="58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58" xfId="0" applyFill="1" applyBorder="1" applyAlignment="1">
      <alignment horizontal="left" vertical="top" wrapText="1"/>
    </xf>
    <xf numFmtId="0" fontId="0" fillId="3" borderId="44" xfId="0" applyFill="1" applyBorder="1" applyAlignment="1">
      <alignment horizontal="left" vertical="top" wrapText="1"/>
    </xf>
    <xf numFmtId="0" fontId="0" fillId="3" borderId="2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B9" sqref="B9:D9"/>
    </sheetView>
  </sheetViews>
  <sheetFormatPr baseColWidth="10" defaultColWidth="8.88671875" defaultRowHeight="14.4" x14ac:dyDescent="0.3"/>
  <cols>
    <col min="1" max="1" width="64.109375" bestFit="1" customWidth="1"/>
    <col min="2" max="2" width="36.109375" customWidth="1"/>
    <col min="3" max="3" width="8.5546875" customWidth="1"/>
    <col min="4" max="4" width="11.44140625" bestFit="1" customWidth="1"/>
  </cols>
  <sheetData>
    <row r="1" spans="1:4" ht="25.8" x14ac:dyDescent="0.5">
      <c r="A1" s="93" t="s">
        <v>152</v>
      </c>
    </row>
    <row r="2" spans="1:4" ht="15" thickBot="1" x14ac:dyDescent="0.35">
      <c r="A2" s="1" t="s">
        <v>53</v>
      </c>
    </row>
    <row r="3" spans="1:4" ht="15" thickBot="1" x14ac:dyDescent="0.35">
      <c r="B3" s="4" t="s">
        <v>2</v>
      </c>
      <c r="C3" s="3" t="s">
        <v>3</v>
      </c>
      <c r="D3" s="80" t="s">
        <v>43</v>
      </c>
    </row>
    <row r="4" spans="1:4" ht="28.2" customHeight="1" x14ac:dyDescent="0.3">
      <c r="A4" s="63" t="s">
        <v>54</v>
      </c>
      <c r="B4" s="123" t="s">
        <v>153</v>
      </c>
      <c r="C4" s="126" t="s">
        <v>55</v>
      </c>
      <c r="D4" s="64">
        <v>6.8587105624142656E-4</v>
      </c>
    </row>
    <row r="5" spans="1:4" ht="28.2" customHeight="1" x14ac:dyDescent="0.3">
      <c r="A5" s="41" t="s">
        <v>56</v>
      </c>
      <c r="B5" s="124"/>
      <c r="C5" s="127"/>
      <c r="D5" s="65">
        <v>5.4999999999999982</v>
      </c>
    </row>
    <row r="6" spans="1:4" ht="28.2" customHeight="1" thickBot="1" x14ac:dyDescent="0.35">
      <c r="A6" s="42" t="s">
        <v>57</v>
      </c>
      <c r="B6" s="125"/>
      <c r="C6" s="128"/>
      <c r="D6" s="66">
        <v>6.8587105624142632E-3</v>
      </c>
    </row>
    <row r="8" spans="1:4" ht="15" thickBot="1" x14ac:dyDescent="0.35">
      <c r="A8" s="1" t="s">
        <v>108</v>
      </c>
    </row>
    <row r="9" spans="1:4" ht="15" thickBot="1" x14ac:dyDescent="0.35">
      <c r="B9" s="4" t="s">
        <v>2</v>
      </c>
      <c r="C9" s="3" t="s">
        <v>3</v>
      </c>
      <c r="D9" s="80" t="s">
        <v>43</v>
      </c>
    </row>
    <row r="10" spans="1:4" x14ac:dyDescent="0.3">
      <c r="A10" s="18" t="s">
        <v>109</v>
      </c>
      <c r="B10" s="123" t="s">
        <v>153</v>
      </c>
      <c r="C10" s="126" t="s">
        <v>55</v>
      </c>
      <c r="D10" s="64">
        <v>2.5</v>
      </c>
    </row>
    <row r="11" spans="1:4" ht="15" thickBot="1" x14ac:dyDescent="0.35">
      <c r="A11" s="13" t="s">
        <v>110</v>
      </c>
      <c r="B11" s="125"/>
      <c r="C11" s="128"/>
      <c r="D11" s="66">
        <v>1.2</v>
      </c>
    </row>
  </sheetData>
  <mergeCells count="4">
    <mergeCell ref="B4:B6"/>
    <mergeCell ref="B10:B11"/>
    <mergeCell ref="C4:C6"/>
    <mergeCell ref="C10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28"/>
  <sheetViews>
    <sheetView tabSelected="1" topLeftCell="A45" zoomScale="69" workbookViewId="0">
      <selection activeCell="F69" sqref="F69"/>
    </sheetView>
  </sheetViews>
  <sheetFormatPr baseColWidth="10" defaultRowHeight="14.4" x14ac:dyDescent="0.3"/>
  <cols>
    <col min="1" max="1" width="24.109375" customWidth="1"/>
    <col min="2" max="2" width="36.33203125" customWidth="1"/>
    <col min="3" max="3" width="34" customWidth="1"/>
    <col min="4" max="4" width="14.77734375" bestFit="1" customWidth="1"/>
    <col min="5" max="12" width="17.5546875" customWidth="1"/>
    <col min="13" max="13" width="20.77734375" customWidth="1"/>
    <col min="14" max="17" width="17.5546875" customWidth="1"/>
    <col min="18" max="18" width="14.77734375" bestFit="1" customWidth="1"/>
    <col min="19" max="24" width="12.21875" bestFit="1" customWidth="1"/>
  </cols>
  <sheetData>
    <row r="1" spans="1:26" s="93" customFormat="1" ht="25.8" x14ac:dyDescent="0.5">
      <c r="A1" s="93" t="s">
        <v>151</v>
      </c>
    </row>
    <row r="2" spans="1:26" ht="15" thickBot="1" x14ac:dyDescent="0.35">
      <c r="A2" s="67" t="s">
        <v>111</v>
      </c>
    </row>
    <row r="3" spans="1:26" ht="15" thickBot="1" x14ac:dyDescent="0.35">
      <c r="A3" s="99" t="s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4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5">
        <v>25</v>
      </c>
    </row>
    <row r="4" spans="1:26" ht="15" thickBot="1" x14ac:dyDescent="0.35">
      <c r="A4" s="80">
        <v>1</v>
      </c>
      <c r="B4" s="6">
        <v>0.3667644370670145</v>
      </c>
      <c r="C4" s="7">
        <v>5.6936153557802578E-2</v>
      </c>
      <c r="D4" s="7">
        <v>3.442944016557814E-3</v>
      </c>
      <c r="E4" s="7">
        <v>1.0136938011790161E-2</v>
      </c>
      <c r="F4" s="7">
        <v>6.1847568492036922E-3</v>
      </c>
      <c r="G4" s="7">
        <v>0</v>
      </c>
      <c r="H4" s="7">
        <v>1.717513463927204E-2</v>
      </c>
      <c r="I4" s="7">
        <v>5.0141643913594099E-3</v>
      </c>
      <c r="J4" s="7">
        <v>3.7815585782902172E-2</v>
      </c>
      <c r="K4" s="7">
        <v>3.5500921793597477E-2</v>
      </c>
      <c r="L4" s="7">
        <v>3.393825457012771E-3</v>
      </c>
      <c r="M4" s="7">
        <v>5.3878729391825557E-3</v>
      </c>
      <c r="N4" s="7">
        <v>2.7798432323902179E-3</v>
      </c>
      <c r="O4" s="7">
        <v>5.038170742390438E-3</v>
      </c>
      <c r="P4" s="7">
        <v>1.433003571614995E-2</v>
      </c>
      <c r="Q4" s="7">
        <v>1.8052083171968051E-2</v>
      </c>
      <c r="R4" s="7">
        <v>1.200125576651073E-2</v>
      </c>
      <c r="S4" s="7">
        <v>5.6387895162083744E-4</v>
      </c>
      <c r="T4" s="7">
        <v>4.1779811918545157E-3</v>
      </c>
      <c r="U4" s="7">
        <v>1.932807798943252E-3</v>
      </c>
      <c r="V4" s="7">
        <v>9.6009390723815237E-3</v>
      </c>
      <c r="W4" s="7">
        <v>6.8781522715970567E-3</v>
      </c>
      <c r="X4" s="7">
        <v>1.8393202038955399E-2</v>
      </c>
      <c r="Y4" s="7">
        <v>8.3612088645359049E-3</v>
      </c>
      <c r="Z4" s="8">
        <v>5.6125556400721151E-3</v>
      </c>
    </row>
    <row r="5" spans="1:26" ht="28.8" customHeight="1" thickBot="1" x14ac:dyDescent="0.35">
      <c r="A5" s="80">
        <v>2</v>
      </c>
      <c r="B5" s="10">
        <v>1.0473214242541886E-2</v>
      </c>
      <c r="C5" s="11">
        <v>0.32533491598964143</v>
      </c>
      <c r="D5" s="11">
        <v>1.127420056774318E-3</v>
      </c>
      <c r="E5" s="11">
        <v>3.642853050720451E-3</v>
      </c>
      <c r="F5" s="11">
        <v>1.1908302211003091E-2</v>
      </c>
      <c r="G5" s="11">
        <v>0</v>
      </c>
      <c r="H5" s="11">
        <v>6.8454588804570437E-3</v>
      </c>
      <c r="I5" s="11">
        <v>8.0281680797446818E-4</v>
      </c>
      <c r="J5" s="11">
        <v>2.9129340917036051E-2</v>
      </c>
      <c r="K5" s="11">
        <v>1.0982711360806771E-2</v>
      </c>
      <c r="L5" s="11">
        <v>1.118508998907407E-2</v>
      </c>
      <c r="M5" s="11">
        <v>2.7317750252388029E-3</v>
      </c>
      <c r="N5" s="11">
        <v>1.2825974782695419E-3</v>
      </c>
      <c r="O5" s="11">
        <v>4.3773198457663946E-3</v>
      </c>
      <c r="P5" s="11">
        <v>1.7167868188508761E-3</v>
      </c>
      <c r="Q5" s="11">
        <v>9.0282009988773906E-3</v>
      </c>
      <c r="R5" s="11">
        <v>7.6668994737295933E-3</v>
      </c>
      <c r="S5" s="11">
        <v>4.9298127979361609E-4</v>
      </c>
      <c r="T5" s="11">
        <v>2.529917937374357E-3</v>
      </c>
      <c r="U5" s="11">
        <v>1.946740826153961E-3</v>
      </c>
      <c r="V5" s="11">
        <v>3.1147483776872071E-3</v>
      </c>
      <c r="W5" s="11">
        <v>3.5739834279721631E-3</v>
      </c>
      <c r="X5" s="11">
        <v>1.038748642361508E-2</v>
      </c>
      <c r="Y5" s="11">
        <v>6.4463070778641727E-3</v>
      </c>
      <c r="Z5" s="12">
        <v>4.7815925112398476E-3</v>
      </c>
    </row>
    <row r="6" spans="1:26" ht="15" thickBot="1" x14ac:dyDescent="0.35">
      <c r="A6" s="80">
        <v>3</v>
      </c>
      <c r="B6" s="10">
        <v>7.5754343636852224E-3</v>
      </c>
      <c r="C6" s="11">
        <v>1.197167147317482E-2</v>
      </c>
      <c r="D6" s="11">
        <v>0.21645978505929006</v>
      </c>
      <c r="E6" s="11">
        <v>2.9928445093114112E-2</v>
      </c>
      <c r="F6" s="11">
        <v>1.8115200038231551E-2</v>
      </c>
      <c r="G6" s="11">
        <v>0</v>
      </c>
      <c r="H6" s="11">
        <v>4.9172933003384439E-3</v>
      </c>
      <c r="I6" s="11">
        <v>0.38511438098901307</v>
      </c>
      <c r="J6" s="11">
        <v>1.698542285523633E-2</v>
      </c>
      <c r="K6" s="11">
        <v>5.8818111546992569E-2</v>
      </c>
      <c r="L6" s="11">
        <v>6.8109894654231175E-3</v>
      </c>
      <c r="M6" s="11">
        <v>0.15367019067802473</v>
      </c>
      <c r="N6" s="11">
        <v>5.8337853210181654E-3</v>
      </c>
      <c r="O6" s="11">
        <v>1.1762338686914861E-2</v>
      </c>
      <c r="P6" s="11">
        <v>1.1275082593827493E-2</v>
      </c>
      <c r="Q6" s="11">
        <v>2.45260394069126E-2</v>
      </c>
      <c r="R6" s="11">
        <v>1.0140848835388528E-2</v>
      </c>
      <c r="S6" s="11">
        <v>0.31581530439313965</v>
      </c>
      <c r="T6" s="11">
        <v>9.0461925477577976E-2</v>
      </c>
      <c r="U6" s="11">
        <v>1.6276280228139609E-2</v>
      </c>
      <c r="V6" s="11">
        <v>6.1265439479155311E-2</v>
      </c>
      <c r="W6" s="11">
        <v>4.5280920953598746E-3</v>
      </c>
      <c r="X6" s="11">
        <v>2.5245030214819737E-3</v>
      </c>
      <c r="Y6" s="11">
        <v>1.1021370856033594E-2</v>
      </c>
      <c r="Z6" s="12">
        <v>7.0075902246112794E-3</v>
      </c>
    </row>
    <row r="7" spans="1:26" ht="15" thickBot="1" x14ac:dyDescent="0.35">
      <c r="A7" s="80">
        <v>4</v>
      </c>
      <c r="B7" s="10">
        <v>1.4322052097186326E-3</v>
      </c>
      <c r="C7" s="11">
        <v>1.4268957582057951E-3</v>
      </c>
      <c r="D7" s="11">
        <v>1.9578642921931119E-3</v>
      </c>
      <c r="E7" s="11">
        <v>6.4914503403267473E-2</v>
      </c>
      <c r="F7" s="11">
        <v>2.7359926129808199E-2</v>
      </c>
      <c r="G7" s="11">
        <v>0</v>
      </c>
      <c r="H7" s="11">
        <v>5.5086168479186377E-4</v>
      </c>
      <c r="I7" s="11">
        <v>3.452040153304063E-3</v>
      </c>
      <c r="J7" s="11">
        <v>1.469309329707514E-2</v>
      </c>
      <c r="K7" s="11">
        <v>1.3436499574675621E-2</v>
      </c>
      <c r="L7" s="11">
        <v>4.0082774588121707E-3</v>
      </c>
      <c r="M7" s="11">
        <v>1.9221834512063659E-3</v>
      </c>
      <c r="N7" s="11">
        <v>1.7452210378646931E-3</v>
      </c>
      <c r="O7" s="11">
        <v>6.4760180242956359E-3</v>
      </c>
      <c r="P7" s="11">
        <v>2.55245766891448E-3</v>
      </c>
      <c r="Q7" s="11">
        <v>2.6580861581567989E-3</v>
      </c>
      <c r="R7" s="11">
        <v>1.0069468126353259E-2</v>
      </c>
      <c r="S7" s="11">
        <v>8.0348899423680334E-5</v>
      </c>
      <c r="T7" s="11">
        <v>1.0652903788578499E-2</v>
      </c>
      <c r="U7" s="11">
        <v>3.3371316911224901E-3</v>
      </c>
      <c r="V7" s="11">
        <v>4.1413067272714783E-4</v>
      </c>
      <c r="W7" s="11">
        <v>3.842155359366685E-4</v>
      </c>
      <c r="X7" s="11">
        <v>5.944327196044433E-4</v>
      </c>
      <c r="Y7" s="11">
        <v>3.1223520833405078E-3</v>
      </c>
      <c r="Z7" s="12">
        <v>1.493717085128723E-3</v>
      </c>
    </row>
    <row r="8" spans="1:26" ht="15" thickBot="1" x14ac:dyDescent="0.35">
      <c r="A8" s="80">
        <v>5</v>
      </c>
      <c r="B8" s="10">
        <v>1.0147521776404864E-2</v>
      </c>
      <c r="C8" s="11">
        <v>3.9196032697089281E-2</v>
      </c>
      <c r="D8" s="11">
        <v>1.8012145321846251E-2</v>
      </c>
      <c r="E8" s="11">
        <v>3.2964558147885271E-2</v>
      </c>
      <c r="F8" s="11">
        <v>0.2082478212830732</v>
      </c>
      <c r="G8" s="11">
        <v>0</v>
      </c>
      <c r="H8" s="11">
        <v>1.3723381839687731E-2</v>
      </c>
      <c r="I8" s="11">
        <v>8.0773417890810818E-3</v>
      </c>
      <c r="J8" s="11">
        <v>7.8244868195230938E-2</v>
      </c>
      <c r="K8" s="11">
        <v>2.3383465843341202E-2</v>
      </c>
      <c r="L8" s="11">
        <v>0.103790955887217</v>
      </c>
      <c r="M8" s="11">
        <v>2.8739885738178209E-2</v>
      </c>
      <c r="N8" s="11">
        <v>4.006908254977621E-2</v>
      </c>
      <c r="O8" s="11">
        <v>3.7795848320090107E-2</v>
      </c>
      <c r="P8" s="11">
        <v>2.9467715571262921E-2</v>
      </c>
      <c r="Q8" s="11">
        <v>5.6097606382478141E-2</v>
      </c>
      <c r="R8" s="11">
        <v>5.1733170223390017E-2</v>
      </c>
      <c r="S8" s="11">
        <v>2.4652455728991461E-2</v>
      </c>
      <c r="T8" s="11">
        <v>2.618794007653678E-2</v>
      </c>
      <c r="U8" s="11">
        <v>3.6790206094792631E-2</v>
      </c>
      <c r="V8" s="11">
        <v>6.3422188079354279E-3</v>
      </c>
      <c r="W8" s="11">
        <v>1.160148329656184E-2</v>
      </c>
      <c r="X8" s="11">
        <v>1.262529939322083E-2</v>
      </c>
      <c r="Y8" s="11">
        <v>4.9311057453861558E-2</v>
      </c>
      <c r="Z8" s="12">
        <v>2.896560323123331E-2</v>
      </c>
    </row>
    <row r="9" spans="1:26" ht="15" thickBot="1" x14ac:dyDescent="0.35">
      <c r="A9" s="80">
        <v>6</v>
      </c>
      <c r="B9" s="10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2">
        <v>0</v>
      </c>
    </row>
    <row r="10" spans="1:26" ht="15" thickBot="1" x14ac:dyDescent="0.35">
      <c r="A10" s="80">
        <v>7</v>
      </c>
      <c r="B10" s="10">
        <v>0.16028201364348182</v>
      </c>
      <c r="C10" s="11">
        <v>0.14064441937416569</v>
      </c>
      <c r="D10" s="11">
        <v>0.1331598767915888</v>
      </c>
      <c r="E10" s="11">
        <v>0.20167080261919701</v>
      </c>
      <c r="F10" s="11">
        <v>0.15957594232281</v>
      </c>
      <c r="G10" s="11">
        <v>0</v>
      </c>
      <c r="H10" s="11">
        <v>0.26467017986959102</v>
      </c>
      <c r="I10" s="11">
        <v>0.10044933067508389</v>
      </c>
      <c r="J10" s="11">
        <v>0.1592604239182793</v>
      </c>
      <c r="K10" s="11">
        <v>0.23072819063763769</v>
      </c>
      <c r="L10" s="11">
        <v>0.1602223881046401</v>
      </c>
      <c r="M10" s="11">
        <v>0.2430145760867691</v>
      </c>
      <c r="N10" s="11">
        <v>0.21416240297202491</v>
      </c>
      <c r="O10" s="11">
        <v>0.1837882368806435</v>
      </c>
      <c r="P10" s="11">
        <v>0.1962511300997446</v>
      </c>
      <c r="Q10" s="11">
        <v>0.33320243306493341</v>
      </c>
      <c r="R10" s="11">
        <v>0.20513075044843471</v>
      </c>
      <c r="S10" s="11">
        <v>0.1161329556687298</v>
      </c>
      <c r="T10" s="11">
        <v>0.24801022780197449</v>
      </c>
      <c r="U10" s="11">
        <v>0.22362439169167209</v>
      </c>
      <c r="V10" s="11">
        <v>0.2506413552272424</v>
      </c>
      <c r="W10" s="11">
        <v>0.17199075219202589</v>
      </c>
      <c r="X10" s="11">
        <v>0.21865320442542779</v>
      </c>
      <c r="Y10" s="11">
        <v>0.1958331310660878</v>
      </c>
      <c r="Z10" s="12">
        <v>0.2731469211352488</v>
      </c>
    </row>
    <row r="11" spans="1:26" ht="15" thickBot="1" x14ac:dyDescent="0.35">
      <c r="A11" s="80">
        <v>8</v>
      </c>
      <c r="B11" s="10">
        <v>1.2066540250197177E-4</v>
      </c>
      <c r="C11" s="11">
        <v>3.89970267581099E-4</v>
      </c>
      <c r="D11" s="11">
        <v>1.5024882946155159E-2</v>
      </c>
      <c r="E11" s="11">
        <v>9.3582984736613321E-4</v>
      </c>
      <c r="F11" s="11">
        <v>2.7137768999666708E-3</v>
      </c>
      <c r="G11" s="11">
        <v>0</v>
      </c>
      <c r="H11" s="11">
        <v>2.5572560842445589E-4</v>
      </c>
      <c r="I11" s="11">
        <v>2.7467514807638291E-2</v>
      </c>
      <c r="J11" s="11">
        <v>2.487127554020005E-2</v>
      </c>
      <c r="K11" s="11">
        <v>1.356777874735314E-2</v>
      </c>
      <c r="L11" s="11">
        <v>2.2029266896525539E-4</v>
      </c>
      <c r="M11" s="11">
        <v>3.2435625601778982E-3</v>
      </c>
      <c r="N11" s="11">
        <v>5.2643000887705701E-4</v>
      </c>
      <c r="O11" s="11">
        <v>1.1649596415045939E-3</v>
      </c>
      <c r="P11" s="11">
        <v>1.0045759009974259E-3</v>
      </c>
      <c r="Q11" s="11">
        <v>1.5265805575712999E-3</v>
      </c>
      <c r="R11" s="11">
        <v>1.39870140444915E-3</v>
      </c>
      <c r="S11" s="11">
        <v>1.520628888071794E-2</v>
      </c>
      <c r="T11" s="11">
        <v>3.8355862322307951E-3</v>
      </c>
      <c r="U11" s="11">
        <v>1.891915291412274E-3</v>
      </c>
      <c r="V11" s="11">
        <v>7.4102038255214071E-3</v>
      </c>
      <c r="W11" s="11">
        <v>3.9848677516856538E-4</v>
      </c>
      <c r="X11" s="11">
        <v>1.297216902396698E-4</v>
      </c>
      <c r="Y11" s="11">
        <v>8.0553879571171674E-4</v>
      </c>
      <c r="Z11" s="12">
        <v>9.7661399382555233E-4</v>
      </c>
    </row>
    <row r="12" spans="1:26" ht="15" thickBot="1" x14ac:dyDescent="0.35">
      <c r="A12" s="80">
        <v>9</v>
      </c>
      <c r="B12" s="10">
        <v>2.9542517471875557E-2</v>
      </c>
      <c r="C12" s="11">
        <v>5.8390700397720471E-2</v>
      </c>
      <c r="D12" s="11">
        <v>1.7043331891018559E-2</v>
      </c>
      <c r="E12" s="11">
        <v>2.2643414922966159E-2</v>
      </c>
      <c r="F12" s="11">
        <v>3.3583888739082218E-2</v>
      </c>
      <c r="G12" s="11">
        <v>0</v>
      </c>
      <c r="H12" s="11">
        <v>7.8740211621395398E-3</v>
      </c>
      <c r="I12" s="11">
        <v>2.4962355987093031E-2</v>
      </c>
      <c r="J12" s="11">
        <v>0.28658766313544531</v>
      </c>
      <c r="K12" s="11">
        <v>0.1646984146650263</v>
      </c>
      <c r="L12" s="11">
        <v>3.8876422715385738E-2</v>
      </c>
      <c r="M12" s="11">
        <v>6.2472320034362263E-3</v>
      </c>
      <c r="N12" s="11">
        <v>2.757258380654078E-3</v>
      </c>
      <c r="O12" s="11">
        <v>4.202804048547071E-3</v>
      </c>
      <c r="P12" s="11">
        <v>5.3679115155426298E-3</v>
      </c>
      <c r="Q12" s="11">
        <v>8.5210321048727021E-3</v>
      </c>
      <c r="R12" s="11">
        <v>8.421418806740813E-3</v>
      </c>
      <c r="S12" s="11">
        <v>1.734890143218116E-3</v>
      </c>
      <c r="T12" s="11">
        <v>4.4240285646965716E-3</v>
      </c>
      <c r="U12" s="11">
        <v>3.7540117061461417E-2</v>
      </c>
      <c r="V12" s="11">
        <v>5.6921309836203277E-3</v>
      </c>
      <c r="W12" s="11">
        <v>3.4032556524914632E-3</v>
      </c>
      <c r="X12" s="11">
        <v>7.9044607078611953E-2</v>
      </c>
      <c r="Y12" s="11">
        <v>1.4169102128574029E-2</v>
      </c>
      <c r="Z12" s="12">
        <v>8.1007425762811298E-3</v>
      </c>
    </row>
    <row r="13" spans="1:26" ht="28.8" customHeight="1" thickBot="1" x14ac:dyDescent="0.35">
      <c r="A13" s="80">
        <v>10</v>
      </c>
      <c r="B13" s="10">
        <v>6.171991515918591E-5</v>
      </c>
      <c r="C13" s="11">
        <v>5.3359720870537791E-5</v>
      </c>
      <c r="D13" s="11">
        <v>1.1842171040667691E-4</v>
      </c>
      <c r="E13" s="11">
        <v>2.2713755426837523E-4</v>
      </c>
      <c r="F13" s="11">
        <v>6.0764663391307622E-5</v>
      </c>
      <c r="G13" s="11">
        <v>0</v>
      </c>
      <c r="H13" s="11">
        <v>6.5676303458412722E-5</v>
      </c>
      <c r="I13" s="11">
        <v>5.0927900894464486E-5</v>
      </c>
      <c r="J13" s="11">
        <v>3.0007568680014124E-4</v>
      </c>
      <c r="K13" s="11">
        <v>1.9504911273919971E-4</v>
      </c>
      <c r="L13" s="11">
        <v>3.3574705064479512E-5</v>
      </c>
      <c r="M13" s="11">
        <v>1.36605664197246E-3</v>
      </c>
      <c r="N13" s="11">
        <v>1.2098781072460449E-3</v>
      </c>
      <c r="O13" s="11">
        <v>3.9731479987353439E-4</v>
      </c>
      <c r="P13" s="11">
        <v>1.6065390263310764E-3</v>
      </c>
      <c r="Q13" s="11">
        <v>7.5107216842662371E-3</v>
      </c>
      <c r="R13" s="11">
        <v>1.4351904351215178E-3</v>
      </c>
      <c r="S13" s="11">
        <v>1.12540900271637E-5</v>
      </c>
      <c r="T13" s="11">
        <v>6.5370933839155586E-5</v>
      </c>
      <c r="U13" s="11">
        <v>3.0393553713703941E-4</v>
      </c>
      <c r="V13" s="11">
        <v>3.6168054212955741E-4</v>
      </c>
      <c r="W13" s="11">
        <v>5.8971612076835303E-5</v>
      </c>
      <c r="X13" s="11">
        <v>4.0596093932030877E-5</v>
      </c>
      <c r="Y13" s="11">
        <v>1.4213395190408498E-4</v>
      </c>
      <c r="Z13" s="12">
        <v>1.0678229195816028E-4</v>
      </c>
    </row>
    <row r="14" spans="1:26" ht="15" thickBot="1" x14ac:dyDescent="0.35">
      <c r="A14" s="80">
        <v>11</v>
      </c>
      <c r="B14" s="10">
        <v>1.4484177093716548E-2</v>
      </c>
      <c r="C14" s="11">
        <v>2.5603862569102281E-2</v>
      </c>
      <c r="D14" s="11">
        <v>2.7720864708768181E-2</v>
      </c>
      <c r="E14" s="11">
        <v>6.2984282932331159E-2</v>
      </c>
      <c r="F14" s="11">
        <v>0.12199547618087619</v>
      </c>
      <c r="G14" s="11">
        <v>0</v>
      </c>
      <c r="H14" s="11">
        <v>2.2884664348122571E-2</v>
      </c>
      <c r="I14" s="11">
        <v>1.6353183690639189E-2</v>
      </c>
      <c r="J14" s="11">
        <v>4.330404192531824E-2</v>
      </c>
      <c r="K14" s="11">
        <v>4.2805069711458803E-2</v>
      </c>
      <c r="L14" s="11">
        <v>0.33491679370945188</v>
      </c>
      <c r="M14" s="11">
        <v>6.655367448595606E-2</v>
      </c>
      <c r="N14" s="11">
        <v>2.8775742312845669E-2</v>
      </c>
      <c r="O14" s="11">
        <v>4.1370035263765793E-2</v>
      </c>
      <c r="P14" s="11">
        <v>2.4184126210035212E-2</v>
      </c>
      <c r="Q14" s="11">
        <v>4.3423477728635057E-2</v>
      </c>
      <c r="R14" s="11">
        <v>2.1268709155750722E-2</v>
      </c>
      <c r="S14" s="11">
        <v>6.7082702050553413E-3</v>
      </c>
      <c r="T14" s="11">
        <v>1.389986024105677E-2</v>
      </c>
      <c r="U14" s="11">
        <v>2.1620419428627989E-2</v>
      </c>
      <c r="V14" s="11">
        <v>3.6486518490673372E-2</v>
      </c>
      <c r="W14" s="11">
        <v>1.7261211716239049E-2</v>
      </c>
      <c r="X14" s="11">
        <v>3.063454487688308E-2</v>
      </c>
      <c r="Y14" s="11">
        <v>6.0127035812062267E-2</v>
      </c>
      <c r="Z14" s="12">
        <v>4.8210825376972133E-2</v>
      </c>
    </row>
    <row r="15" spans="1:26" ht="15" thickBot="1" x14ac:dyDescent="0.35">
      <c r="A15" s="80">
        <v>12</v>
      </c>
      <c r="B15" s="10">
        <v>4.9598793739920224E-4</v>
      </c>
      <c r="C15" s="11">
        <v>5.0112624312457046E-4</v>
      </c>
      <c r="D15" s="11">
        <v>6.5300477151116463E-4</v>
      </c>
      <c r="E15" s="11">
        <v>2.3366784156704213E-3</v>
      </c>
      <c r="F15" s="11">
        <v>4.5907586388130431E-4</v>
      </c>
      <c r="G15" s="11">
        <v>0</v>
      </c>
      <c r="H15" s="11">
        <v>4.1733380574963139E-4</v>
      </c>
      <c r="I15" s="11">
        <v>7.3426791708562384E-4</v>
      </c>
      <c r="J15" s="11">
        <v>4.0402872839665572E-4</v>
      </c>
      <c r="K15" s="11">
        <v>5.821613034481996E-4</v>
      </c>
      <c r="L15" s="11">
        <v>5.1109161146299068E-4</v>
      </c>
      <c r="M15" s="11">
        <v>6.8363706372793131E-4</v>
      </c>
      <c r="N15" s="11">
        <v>1.0801271079387766E-3</v>
      </c>
      <c r="O15" s="11">
        <v>2.4047817651554538E-5</v>
      </c>
      <c r="P15" s="11">
        <v>6.7288877294851182E-5</v>
      </c>
      <c r="Q15" s="11">
        <v>1.0625076207197329E-3</v>
      </c>
      <c r="R15" s="11">
        <v>3.6796346048647893E-4</v>
      </c>
      <c r="S15" s="11">
        <v>4.2434735796546448E-5</v>
      </c>
      <c r="T15" s="11">
        <v>2.7347030451935097E-4</v>
      </c>
      <c r="U15" s="11">
        <v>2.8118774879638548E-4</v>
      </c>
      <c r="V15" s="11">
        <v>2.0443656608011299E-4</v>
      </c>
      <c r="W15" s="11">
        <v>3.4495962913271781E-4</v>
      </c>
      <c r="X15" s="11">
        <v>2.7209674433846125E-4</v>
      </c>
      <c r="Y15" s="11">
        <v>6.1084295078786305E-4</v>
      </c>
      <c r="Z15" s="12">
        <v>2.5287686572882627E-4</v>
      </c>
    </row>
    <row r="16" spans="1:26" ht="15" thickBot="1" x14ac:dyDescent="0.35">
      <c r="A16" s="80">
        <v>13</v>
      </c>
      <c r="B16" s="10">
        <v>4.1834091132965558E-4</v>
      </c>
      <c r="C16" s="11">
        <v>5.545232401278085E-4</v>
      </c>
      <c r="D16" s="11">
        <v>3.4224628271480555E-4</v>
      </c>
      <c r="E16" s="11">
        <v>6.3533321521164763E-4</v>
      </c>
      <c r="F16" s="11">
        <v>5.4422161567377965E-4</v>
      </c>
      <c r="G16" s="11">
        <v>0</v>
      </c>
      <c r="H16" s="11">
        <v>4.423357959632959E-4</v>
      </c>
      <c r="I16" s="11">
        <v>4.2772413448962212E-4</v>
      </c>
      <c r="J16" s="11">
        <v>8.3441319757808594E-4</v>
      </c>
      <c r="K16" s="11">
        <v>9.6906544777242945E-4</v>
      </c>
      <c r="L16" s="11">
        <v>4.2375434565238154E-4</v>
      </c>
      <c r="M16" s="11">
        <v>4.0394791743093485E-3</v>
      </c>
      <c r="N16" s="11">
        <v>7.7438904518066908E-3</v>
      </c>
      <c r="O16" s="11">
        <v>4.3910213229177978E-5</v>
      </c>
      <c r="P16" s="11">
        <v>7.9927523661491254E-5</v>
      </c>
      <c r="Q16" s="11">
        <v>7.5614513359622175E-3</v>
      </c>
      <c r="R16" s="11">
        <v>4.881117790174494E-4</v>
      </c>
      <c r="S16" s="11">
        <v>7.7656829440847402E-5</v>
      </c>
      <c r="T16" s="11">
        <v>1.0485096347985219E-4</v>
      </c>
      <c r="U16" s="11">
        <v>7.6845786033887897E-4</v>
      </c>
      <c r="V16" s="11">
        <v>2.7072810595852963E-4</v>
      </c>
      <c r="W16" s="11">
        <v>5.1635440102171747E-4</v>
      </c>
      <c r="X16" s="11">
        <v>3.4389732009678129E-4</v>
      </c>
      <c r="Y16" s="11">
        <v>9.1818040875938614E-4</v>
      </c>
      <c r="Z16" s="12">
        <v>4.7190074112033462E-4</v>
      </c>
    </row>
    <row r="17" spans="1:26" ht="28.8" customHeight="1" thickBot="1" x14ac:dyDescent="0.35">
      <c r="A17" s="80">
        <v>14</v>
      </c>
      <c r="B17" s="10">
        <v>2.2574974840892459E-3</v>
      </c>
      <c r="C17" s="11">
        <v>2.6826569228177045E-3</v>
      </c>
      <c r="D17" s="11">
        <v>3.0853129908022759E-3</v>
      </c>
      <c r="E17" s="11">
        <v>1.068301041810378E-2</v>
      </c>
      <c r="F17" s="11">
        <v>2.0378840880576465E-3</v>
      </c>
      <c r="G17" s="11">
        <v>0</v>
      </c>
      <c r="H17" s="11">
        <v>1.7962241426262443E-3</v>
      </c>
      <c r="I17" s="11">
        <v>2.8850348060029604E-3</v>
      </c>
      <c r="J17" s="11">
        <v>2.6768103667932325E-3</v>
      </c>
      <c r="K17" s="11">
        <v>4.9008766013169678E-3</v>
      </c>
      <c r="L17" s="11">
        <v>2.1167637767102601E-3</v>
      </c>
      <c r="M17" s="11">
        <v>2.3632180878994037E-3</v>
      </c>
      <c r="N17" s="11">
        <v>3.7478104658883633E-3</v>
      </c>
      <c r="O17" s="11">
        <v>2.7541438641337588E-4</v>
      </c>
      <c r="P17" s="11">
        <v>3.4419832719591846E-4</v>
      </c>
      <c r="Q17" s="11">
        <v>3.8735300443039885E-3</v>
      </c>
      <c r="R17" s="11">
        <v>1.8036305114326292E-3</v>
      </c>
      <c r="S17" s="11">
        <v>1.7879703887945702E-4</v>
      </c>
      <c r="T17" s="11">
        <v>1.5438855107503626E-3</v>
      </c>
      <c r="U17" s="11">
        <v>9.2162576711510974E-4</v>
      </c>
      <c r="V17" s="11">
        <v>9.2771712861847416E-4</v>
      </c>
      <c r="W17" s="11">
        <v>1.3753335379668732E-3</v>
      </c>
      <c r="X17" s="11">
        <v>1.0950159935947915E-3</v>
      </c>
      <c r="Y17" s="11">
        <v>3.0393481078610477E-3</v>
      </c>
      <c r="Z17" s="12">
        <v>1.4937837562932611E-3</v>
      </c>
    </row>
    <row r="18" spans="1:26" ht="15" thickBot="1" x14ac:dyDescent="0.35">
      <c r="A18" s="80">
        <v>15</v>
      </c>
      <c r="B18" s="10">
        <v>4.5984463962327551E-4</v>
      </c>
      <c r="C18" s="11">
        <v>4.6459184962172582E-4</v>
      </c>
      <c r="D18" s="11">
        <v>3.9321503058605571E-3</v>
      </c>
      <c r="E18" s="11">
        <v>1.8362267503973558E-3</v>
      </c>
      <c r="F18" s="11">
        <v>7.3770220808352005E-4</v>
      </c>
      <c r="G18" s="11">
        <v>0</v>
      </c>
      <c r="H18" s="11">
        <v>4.6933953160438561E-4</v>
      </c>
      <c r="I18" s="11">
        <v>6.5790252136490599E-3</v>
      </c>
      <c r="J18" s="11">
        <v>8.4319390863307113E-4</v>
      </c>
      <c r="K18" s="11">
        <v>1.6869348729935082E-3</v>
      </c>
      <c r="L18" s="11">
        <v>5.369780216843143E-4</v>
      </c>
      <c r="M18" s="11">
        <v>3.5882924191606306E-3</v>
      </c>
      <c r="N18" s="11">
        <v>1.0245312337164943E-3</v>
      </c>
      <c r="O18" s="11">
        <v>3.8837095228598983E-4</v>
      </c>
      <c r="P18" s="11">
        <v>9.0433273818697269E-4</v>
      </c>
      <c r="Q18" s="11">
        <v>1.0431183336496684E-3</v>
      </c>
      <c r="R18" s="11">
        <v>1.1327059059939653E-3</v>
      </c>
      <c r="S18" s="11">
        <v>9.9258335386956045E-5</v>
      </c>
      <c r="T18" s="11">
        <v>2.1749334313169659E-4</v>
      </c>
      <c r="U18" s="11">
        <v>2.1803330822735089E-4</v>
      </c>
      <c r="V18" s="11">
        <v>1.2992542093554036E-3</v>
      </c>
      <c r="W18" s="11">
        <v>3.0056724809848659E-4</v>
      </c>
      <c r="X18" s="11">
        <v>2.3133107735951369E-4</v>
      </c>
      <c r="Y18" s="11">
        <v>5.1196208442075904E-4</v>
      </c>
      <c r="Z18" s="12">
        <v>4.8442073795648379E-4</v>
      </c>
    </row>
    <row r="19" spans="1:26" ht="15" thickBot="1" x14ac:dyDescent="0.35">
      <c r="A19" s="80">
        <v>16</v>
      </c>
      <c r="B19" s="10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2">
        <v>0</v>
      </c>
    </row>
    <row r="20" spans="1:26" ht="15" thickBot="1" x14ac:dyDescent="0.35">
      <c r="A20" s="80">
        <v>17</v>
      </c>
      <c r="B20" s="10">
        <v>9.5099008504238782E-5</v>
      </c>
      <c r="C20" s="11">
        <v>9.9514155955650191E-5</v>
      </c>
      <c r="D20" s="11">
        <v>8.3399384382390387E-4</v>
      </c>
      <c r="E20" s="11">
        <v>3.8633250594461761E-4</v>
      </c>
      <c r="F20" s="11">
        <v>1.5305510369376267E-4</v>
      </c>
      <c r="G20" s="11">
        <v>0</v>
      </c>
      <c r="H20" s="11">
        <v>9.5304274677024392E-5</v>
      </c>
      <c r="I20" s="11">
        <v>1.3968333714730957E-3</v>
      </c>
      <c r="J20" s="11">
        <v>2.1277891960523029E-4</v>
      </c>
      <c r="K20" s="11">
        <v>3.6679454010218307E-4</v>
      </c>
      <c r="L20" s="11">
        <v>1.1462546014625473E-4</v>
      </c>
      <c r="M20" s="11">
        <v>7.6584528334234397E-4</v>
      </c>
      <c r="N20" s="11">
        <v>2.3468685595570782E-4</v>
      </c>
      <c r="O20" s="11">
        <v>8.4594254717671377E-5</v>
      </c>
      <c r="P20" s="11">
        <v>1.9250238153616802E-4</v>
      </c>
      <c r="Q20" s="11">
        <v>2.4066679117137795E-4</v>
      </c>
      <c r="R20" s="11">
        <v>2.4953060941618405E-4</v>
      </c>
      <c r="S20" s="11">
        <v>2.4711425838288207E-5</v>
      </c>
      <c r="T20" s="11">
        <v>4.6142421437344068E-5</v>
      </c>
      <c r="U20" s="11">
        <v>5.051561905070266E-5</v>
      </c>
      <c r="V20" s="11">
        <v>2.7686498146848676E-4</v>
      </c>
      <c r="W20" s="11">
        <v>7.8676735975374899E-5</v>
      </c>
      <c r="X20" s="11">
        <v>5.2365558350119555E-5</v>
      </c>
      <c r="Y20" s="11">
        <v>1.1884557481755147E-4</v>
      </c>
      <c r="Z20" s="12">
        <v>1.2393495190392853E-4</v>
      </c>
    </row>
    <row r="21" spans="1:26" ht="28.8" customHeight="1" thickBot="1" x14ac:dyDescent="0.35">
      <c r="A21" s="80">
        <v>18</v>
      </c>
      <c r="B21" s="10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2">
        <v>0</v>
      </c>
    </row>
    <row r="22" spans="1:26" ht="15" thickBot="1" x14ac:dyDescent="0.35">
      <c r="A22" s="80">
        <v>19</v>
      </c>
      <c r="B22" s="10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2">
        <v>0</v>
      </c>
    </row>
    <row r="23" spans="1:26" ht="28.8" customHeight="1" thickBot="1" x14ac:dyDescent="0.35">
      <c r="A23" s="80">
        <v>20</v>
      </c>
      <c r="B23" s="10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2">
        <v>0</v>
      </c>
    </row>
    <row r="24" spans="1:26" ht="15" thickBot="1" x14ac:dyDescent="0.35">
      <c r="A24" s="80">
        <v>21</v>
      </c>
      <c r="B24" s="10">
        <v>2.2209164692693514E-2</v>
      </c>
      <c r="C24" s="11">
        <v>1.914142232655431E-2</v>
      </c>
      <c r="D24" s="11">
        <v>2.0247649677415939E-2</v>
      </c>
      <c r="E24" s="11">
        <v>4.6872132726847968E-2</v>
      </c>
      <c r="F24" s="11">
        <v>2.9922517160498451E-2</v>
      </c>
      <c r="G24" s="11">
        <v>0</v>
      </c>
      <c r="H24" s="11">
        <v>2.033788619840439E-2</v>
      </c>
      <c r="I24" s="11">
        <v>1.422860153261233E-2</v>
      </c>
      <c r="J24" s="11">
        <v>1.528951978824254E-2</v>
      </c>
      <c r="K24" s="11">
        <v>3.1988800569947559E-2</v>
      </c>
      <c r="L24" s="11">
        <v>1.6782679150205749E-2</v>
      </c>
      <c r="M24" s="11">
        <v>2.8496385389400209E-2</v>
      </c>
      <c r="N24" s="11">
        <v>1.217438534684083E-2</v>
      </c>
      <c r="O24" s="11">
        <v>1.186085113027602E-2</v>
      </c>
      <c r="P24" s="11">
        <v>2.479995605860013E-2</v>
      </c>
      <c r="Q24" s="11">
        <v>3.9300428998772403E-2</v>
      </c>
      <c r="R24" s="11">
        <v>2.539293006030505E-2</v>
      </c>
      <c r="S24" s="11">
        <v>3.682202351847999E-2</v>
      </c>
      <c r="T24" s="11">
        <v>4.618485109042033E-2</v>
      </c>
      <c r="U24" s="11">
        <v>5.5577535786091148E-2</v>
      </c>
      <c r="V24" s="11">
        <v>7.6365619622057318E-2</v>
      </c>
      <c r="W24" s="11">
        <v>1.8150182660850951E-2</v>
      </c>
      <c r="X24" s="11">
        <v>1.2231703456506961E-2</v>
      </c>
      <c r="Y24" s="11">
        <v>3.009537230584004E-2</v>
      </c>
      <c r="Z24" s="12">
        <v>3.9467346018847639E-2</v>
      </c>
    </row>
    <row r="25" spans="1:26" ht="15" thickBot="1" x14ac:dyDescent="0.35">
      <c r="A25" s="80">
        <v>22</v>
      </c>
      <c r="B25" s="10">
        <v>2.6363103310189005E-4</v>
      </c>
      <c r="C25" s="11">
        <v>2.4065256568668071E-4</v>
      </c>
      <c r="D25" s="11">
        <v>2.4599557233919361E-4</v>
      </c>
      <c r="E25" s="11">
        <v>3.6961142917616948E-4</v>
      </c>
      <c r="F25" s="11">
        <v>2.6220324911981708E-4</v>
      </c>
      <c r="G25" s="11">
        <v>0</v>
      </c>
      <c r="H25" s="11">
        <v>1.849813060832882E-3</v>
      </c>
      <c r="I25" s="11">
        <v>1.9724403029211309E-4</v>
      </c>
      <c r="J25" s="11">
        <v>3.5476681661118661E-4</v>
      </c>
      <c r="K25" s="11">
        <v>6.9350940220937868E-4</v>
      </c>
      <c r="L25" s="11">
        <v>3.438259591188827E-4</v>
      </c>
      <c r="M25" s="11">
        <v>6.6644375528981633E-4</v>
      </c>
      <c r="N25" s="11">
        <v>1.2846036414627311E-3</v>
      </c>
      <c r="O25" s="11">
        <v>5.5933385255008377E-4</v>
      </c>
      <c r="P25" s="11">
        <v>1.4619036268246829E-3</v>
      </c>
      <c r="Q25" s="11">
        <v>1.017324574029612E-3</v>
      </c>
      <c r="R25" s="11">
        <v>8.2127116296431071E-4</v>
      </c>
      <c r="S25" s="11">
        <v>1.940454955050995E-3</v>
      </c>
      <c r="T25" s="11">
        <v>2.6109426775632418E-4</v>
      </c>
      <c r="U25" s="11">
        <v>1.909196364172082E-3</v>
      </c>
      <c r="V25" s="11">
        <v>6.6912662550045474E-4</v>
      </c>
      <c r="W25" s="11">
        <v>1.192198268446438E-2</v>
      </c>
      <c r="X25" s="11">
        <v>1.4135707015807001E-3</v>
      </c>
      <c r="Y25" s="11">
        <v>1.9620979026800361E-3</v>
      </c>
      <c r="Z25" s="12">
        <v>1.576168386915677E-3</v>
      </c>
    </row>
    <row r="26" spans="1:26" ht="15" thickBot="1" x14ac:dyDescent="0.35">
      <c r="A26" s="80">
        <v>23</v>
      </c>
      <c r="B26" s="10">
        <v>2.7529415521472365E-4</v>
      </c>
      <c r="C26" s="11">
        <v>2.0441535977423189E-4</v>
      </c>
      <c r="D26" s="11">
        <v>1.5879554792403499E-4</v>
      </c>
      <c r="E26" s="11">
        <v>4.403533532089303E-4</v>
      </c>
      <c r="F26" s="11">
        <v>4.0263152232367018E-4</v>
      </c>
      <c r="G26" s="11">
        <v>0</v>
      </c>
      <c r="H26" s="11">
        <v>2.0731388649350931E-3</v>
      </c>
      <c r="I26" s="11">
        <v>2.0242080825696391E-4</v>
      </c>
      <c r="J26" s="11">
        <v>2.9937009427263611E-4</v>
      </c>
      <c r="K26" s="11">
        <v>8.0925341307877346E-4</v>
      </c>
      <c r="L26" s="11">
        <v>6.9676251086159995E-4</v>
      </c>
      <c r="M26" s="11">
        <v>5.3793287204814927E-4</v>
      </c>
      <c r="N26" s="11">
        <v>3.3677362055066501E-4</v>
      </c>
      <c r="O26" s="11">
        <v>8.8424532245259119E-4</v>
      </c>
      <c r="P26" s="11">
        <v>4.3302384103292461E-4</v>
      </c>
      <c r="Q26" s="11">
        <v>3.2872982425922911E-4</v>
      </c>
      <c r="R26" s="11">
        <v>3.6633293743371028E-4</v>
      </c>
      <c r="S26" s="11">
        <v>4.7077392619808271E-4</v>
      </c>
      <c r="T26" s="11">
        <v>3.4873697412372259E-4</v>
      </c>
      <c r="U26" s="11">
        <v>3.0925258397174318E-4</v>
      </c>
      <c r="V26" s="11">
        <v>2.0499641697104091E-4</v>
      </c>
      <c r="W26" s="11">
        <v>1.2566441712388689E-3</v>
      </c>
      <c r="X26" s="11">
        <v>2.1711104597175901E-2</v>
      </c>
      <c r="Y26" s="11">
        <v>3.4456731297876808E-3</v>
      </c>
      <c r="Z26" s="12">
        <v>2.568270411242041E-3</v>
      </c>
    </row>
    <row r="27" spans="1:26" ht="15" thickBot="1" x14ac:dyDescent="0.35">
      <c r="A27" s="80">
        <v>24</v>
      </c>
      <c r="B27" s="10">
        <v>1.0208108784759551E-2</v>
      </c>
      <c r="C27" s="11">
        <v>4.2158240414675949E-3</v>
      </c>
      <c r="D27" s="11">
        <v>5.4739623713019664E-3</v>
      </c>
      <c r="E27" s="11">
        <v>3.2015688407412558E-3</v>
      </c>
      <c r="F27" s="11">
        <v>2.8375218547417869E-3</v>
      </c>
      <c r="G27" s="11">
        <v>0</v>
      </c>
      <c r="H27" s="11">
        <v>3.7740150915993799E-3</v>
      </c>
      <c r="I27" s="11">
        <v>1.2526283276512019E-3</v>
      </c>
      <c r="J27" s="11">
        <v>3.431271238912991E-3</v>
      </c>
      <c r="K27" s="11">
        <v>2.379388167427813E-3</v>
      </c>
      <c r="L27" s="11">
        <v>1.4069762012374151E-3</v>
      </c>
      <c r="M27" s="11">
        <v>1.4999527056563411E-2</v>
      </c>
      <c r="N27" s="11">
        <v>1.595183041958699E-2</v>
      </c>
      <c r="O27" s="11">
        <v>2.9010208385224591E-2</v>
      </c>
      <c r="P27" s="11">
        <v>3.747673798196057E-3</v>
      </c>
      <c r="Q27" s="11">
        <v>1.7567815282623491E-2</v>
      </c>
      <c r="R27" s="11">
        <v>3.4811933522660402E-3</v>
      </c>
      <c r="S27" s="11">
        <v>6.5371255212567773E-4</v>
      </c>
      <c r="T27" s="11">
        <v>8.8033648607272884E-4</v>
      </c>
      <c r="U27" s="11">
        <v>2.3194502879786911E-3</v>
      </c>
      <c r="V27" s="11">
        <v>3.8051803508505088E-3</v>
      </c>
      <c r="W27" s="11">
        <v>3.7731039005323018E-3</v>
      </c>
      <c r="X27" s="11">
        <v>3.9170567389686453E-3</v>
      </c>
      <c r="Y27" s="11">
        <v>4.6316261225656338E-2</v>
      </c>
      <c r="Z27" s="12">
        <v>7.2473286377713178E-2</v>
      </c>
    </row>
    <row r="28" spans="1:26" ht="15" thickBot="1" x14ac:dyDescent="0.35">
      <c r="A28" s="80">
        <v>25</v>
      </c>
      <c r="B28" s="14">
        <v>3.6432059999285668E-4</v>
      </c>
      <c r="C28" s="15">
        <v>2.3575402106929631E-4</v>
      </c>
      <c r="D28" s="15">
        <v>4.976193979547239E-4</v>
      </c>
      <c r="E28" s="15">
        <v>3.1909637873511098E-4</v>
      </c>
      <c r="F28" s="15">
        <v>4.6580763162781179E-4</v>
      </c>
      <c r="G28" s="15">
        <v>0</v>
      </c>
      <c r="H28" s="15">
        <v>5.6281244758872367E-4</v>
      </c>
      <c r="I28" s="15">
        <v>3.58582726728274E-4</v>
      </c>
      <c r="J28" s="15">
        <v>7.5142131333864892E-4</v>
      </c>
      <c r="K28" s="15">
        <v>6.4544944623498492E-4</v>
      </c>
      <c r="L28" s="15">
        <v>1.7610711465763259E-4</v>
      </c>
      <c r="M28" s="15">
        <v>2.1567165035020499E-4</v>
      </c>
      <c r="N28" s="15">
        <v>4.726797045291247E-4</v>
      </c>
      <c r="O28" s="15">
        <v>6.0856102487954979E-4</v>
      </c>
      <c r="P28" s="15">
        <v>2.8157830766378279E-4</v>
      </c>
      <c r="Q28" s="15">
        <v>4.4962768271646358E-3</v>
      </c>
      <c r="R28" s="15">
        <v>5.6958205677985698E-4</v>
      </c>
      <c r="S28" s="15">
        <v>1.947781040818122E-4</v>
      </c>
      <c r="T28" s="15">
        <v>1.4593615614314639E-4</v>
      </c>
      <c r="U28" s="15">
        <v>1.363638527340174E-4</v>
      </c>
      <c r="V28" s="15">
        <v>3.6596595781180231E-4</v>
      </c>
      <c r="W28" s="15">
        <v>2.005339507003083E-4</v>
      </c>
      <c r="X28" s="15">
        <v>5.8566946999952176E-4</v>
      </c>
      <c r="Y28" s="15">
        <v>8.0550439330272384E-3</v>
      </c>
      <c r="Z28" s="16">
        <v>2.9072618221610089E-2</v>
      </c>
    </row>
    <row r="30" spans="1:26" ht="15" thickBot="1" x14ac:dyDescent="0.35">
      <c r="A30" s="1" t="s">
        <v>1</v>
      </c>
    </row>
    <row r="31" spans="1:26" ht="15" thickBot="1" x14ac:dyDescent="0.35">
      <c r="C31" s="4" t="s">
        <v>3</v>
      </c>
      <c r="D31" s="4" t="s">
        <v>4</v>
      </c>
      <c r="E31" s="3" t="s">
        <v>5</v>
      </c>
      <c r="F31" s="5" t="s">
        <v>6</v>
      </c>
    </row>
    <row r="32" spans="1:26" x14ac:dyDescent="0.3">
      <c r="A32" s="133" t="s">
        <v>7</v>
      </c>
      <c r="B32" s="18" t="s">
        <v>8</v>
      </c>
      <c r="C32" s="136" t="s">
        <v>13</v>
      </c>
      <c r="D32" s="22">
        <v>1.7262041564032105E-2</v>
      </c>
      <c r="E32" s="22">
        <v>1.7262041564032105E-2</v>
      </c>
      <c r="F32" s="22">
        <v>1.7262041564032105E-2</v>
      </c>
    </row>
    <row r="33" spans="1:27" x14ac:dyDescent="0.3">
      <c r="A33" s="134"/>
      <c r="B33" s="9" t="s">
        <v>10</v>
      </c>
      <c r="C33" s="137"/>
      <c r="D33" s="22">
        <v>2.7289334282015298E-2</v>
      </c>
      <c r="E33" s="22">
        <v>3.2064252757035838E-2</v>
      </c>
      <c r="F33" s="22">
        <v>3.4834708660740787E-2</v>
      </c>
    </row>
    <row r="34" spans="1:27" ht="15" thickBot="1" x14ac:dyDescent="0.35">
      <c r="A34" s="135"/>
      <c r="B34" s="13" t="s">
        <v>9</v>
      </c>
      <c r="C34" s="138"/>
      <c r="D34" s="22">
        <v>2.7551999142902961E-2</v>
      </c>
      <c r="E34" s="22">
        <v>3.1235655732438916E-2</v>
      </c>
      <c r="F34" s="22">
        <v>3.0423937949013657E-2</v>
      </c>
    </row>
    <row r="36" spans="1:27" ht="15" thickBot="1" x14ac:dyDescent="0.35">
      <c r="A36" s="1" t="s">
        <v>30</v>
      </c>
      <c r="B36" s="26"/>
    </row>
    <row r="37" spans="1:27" s="40" customFormat="1" ht="43.8" thickBot="1" x14ac:dyDescent="0.35">
      <c r="B37" s="101" t="s">
        <v>2</v>
      </c>
      <c r="C37" s="103" t="s">
        <v>3</v>
      </c>
      <c r="D37" s="104" t="s">
        <v>17</v>
      </c>
      <c r="E37" s="105" t="s">
        <v>18</v>
      </c>
      <c r="F37" s="105" t="s">
        <v>19</v>
      </c>
      <c r="G37" s="105" t="s">
        <v>20</v>
      </c>
      <c r="H37" s="105" t="s">
        <v>21</v>
      </c>
      <c r="I37" s="105" t="s">
        <v>22</v>
      </c>
      <c r="J37" s="105" t="s">
        <v>23</v>
      </c>
      <c r="K37" s="105" t="s">
        <v>24</v>
      </c>
      <c r="L37" s="105" t="s">
        <v>25</v>
      </c>
      <c r="M37" s="105" t="s">
        <v>26</v>
      </c>
      <c r="N37" s="105" t="s">
        <v>27</v>
      </c>
      <c r="O37" s="105" t="s">
        <v>29</v>
      </c>
      <c r="P37" s="106" t="s">
        <v>28</v>
      </c>
    </row>
    <row r="38" spans="1:27" ht="15" thickBot="1" x14ac:dyDescent="0.35">
      <c r="A38" s="27" t="s">
        <v>12</v>
      </c>
      <c r="B38" s="139" t="s">
        <v>31</v>
      </c>
      <c r="C38" s="100" t="s">
        <v>13</v>
      </c>
      <c r="D38" s="28">
        <v>3</v>
      </c>
      <c r="E38" s="95">
        <v>3</v>
      </c>
      <c r="F38" s="95">
        <v>3</v>
      </c>
      <c r="G38" s="95">
        <v>3</v>
      </c>
      <c r="H38" s="95">
        <v>3</v>
      </c>
      <c r="I38" s="95">
        <v>3</v>
      </c>
      <c r="J38" s="95">
        <v>3</v>
      </c>
      <c r="K38" s="95">
        <v>3</v>
      </c>
      <c r="L38" s="95">
        <v>3</v>
      </c>
      <c r="M38" s="95">
        <v>3</v>
      </c>
      <c r="N38" s="95">
        <v>3</v>
      </c>
      <c r="O38" s="95">
        <v>3</v>
      </c>
      <c r="P38" s="29">
        <v>3</v>
      </c>
    </row>
    <row r="39" spans="1:27" x14ac:dyDescent="0.3">
      <c r="A39" s="30" t="s">
        <v>157</v>
      </c>
      <c r="B39" s="140"/>
      <c r="C39" s="100" t="s">
        <v>13</v>
      </c>
      <c r="D39" s="28">
        <v>10</v>
      </c>
      <c r="E39" s="95">
        <v>9</v>
      </c>
      <c r="F39" s="95">
        <v>9</v>
      </c>
      <c r="G39" s="95">
        <v>9</v>
      </c>
      <c r="H39" s="95">
        <v>7</v>
      </c>
      <c r="I39" s="95">
        <v>7</v>
      </c>
      <c r="J39" s="95">
        <v>6.8</v>
      </c>
      <c r="K39" s="95">
        <v>6</v>
      </c>
      <c r="L39" s="95">
        <v>6</v>
      </c>
      <c r="M39" s="95">
        <v>5</v>
      </c>
      <c r="N39" s="95">
        <v>6</v>
      </c>
      <c r="O39" s="95">
        <v>6</v>
      </c>
      <c r="P39" s="29">
        <v>5</v>
      </c>
    </row>
    <row r="40" spans="1:27" x14ac:dyDescent="0.3">
      <c r="A40" s="30" t="s">
        <v>156</v>
      </c>
      <c r="B40" s="140"/>
      <c r="C40" s="100" t="s">
        <v>13</v>
      </c>
      <c r="D40" s="94">
        <v>10</v>
      </c>
      <c r="E40" s="56">
        <v>9</v>
      </c>
      <c r="F40" s="56">
        <v>9</v>
      </c>
      <c r="G40" s="56">
        <v>9</v>
      </c>
      <c r="H40" s="56">
        <v>6</v>
      </c>
      <c r="I40" s="56">
        <v>6</v>
      </c>
      <c r="J40" s="56">
        <v>6</v>
      </c>
      <c r="K40" s="56">
        <v>5</v>
      </c>
      <c r="L40" s="56">
        <v>5</v>
      </c>
      <c r="M40" s="56">
        <v>5</v>
      </c>
      <c r="N40" s="56">
        <v>5</v>
      </c>
      <c r="O40" s="56">
        <v>5</v>
      </c>
      <c r="P40" s="57">
        <v>5</v>
      </c>
    </row>
    <row r="41" spans="1:27" x14ac:dyDescent="0.3">
      <c r="A41" s="30" t="s">
        <v>15</v>
      </c>
      <c r="B41" s="140"/>
      <c r="C41" s="31" t="s">
        <v>13</v>
      </c>
      <c r="D41" s="32">
        <v>1</v>
      </c>
      <c r="E41" s="33">
        <v>1</v>
      </c>
      <c r="F41" s="33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4">
        <v>1</v>
      </c>
    </row>
    <row r="42" spans="1:27" ht="15" thickBot="1" x14ac:dyDescent="0.35">
      <c r="A42" s="35" t="s">
        <v>16</v>
      </c>
      <c r="B42" s="141"/>
      <c r="C42" s="36" t="s">
        <v>13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9">
        <v>0</v>
      </c>
    </row>
    <row r="44" spans="1:27" ht="15" thickBot="1" x14ac:dyDescent="0.35">
      <c r="A44" s="83" t="s">
        <v>116</v>
      </c>
    </row>
    <row r="45" spans="1:27" ht="16.2" customHeight="1" thickBot="1" x14ac:dyDescent="0.35">
      <c r="A45" s="1"/>
      <c r="B45" s="107" t="s">
        <v>3</v>
      </c>
      <c r="C45" s="108">
        <v>1</v>
      </c>
      <c r="D45" s="108">
        <v>2</v>
      </c>
      <c r="E45" s="108">
        <v>3</v>
      </c>
      <c r="F45" s="108">
        <v>4</v>
      </c>
      <c r="G45" s="108">
        <v>5</v>
      </c>
      <c r="H45" s="108">
        <v>6</v>
      </c>
      <c r="I45" s="108">
        <v>7</v>
      </c>
      <c r="J45" s="108">
        <v>8</v>
      </c>
      <c r="K45" s="108">
        <v>9</v>
      </c>
      <c r="L45" s="108">
        <v>10</v>
      </c>
      <c r="M45" s="108">
        <v>11</v>
      </c>
      <c r="N45" s="108">
        <v>12</v>
      </c>
      <c r="O45" s="108">
        <v>13</v>
      </c>
      <c r="P45" s="108">
        <v>14</v>
      </c>
      <c r="Q45" s="108">
        <v>15</v>
      </c>
      <c r="R45" s="108">
        <v>16</v>
      </c>
      <c r="S45" s="108">
        <v>17</v>
      </c>
      <c r="T45" s="108">
        <v>18</v>
      </c>
      <c r="U45" s="108">
        <v>19</v>
      </c>
      <c r="V45" s="108">
        <v>20</v>
      </c>
      <c r="W45" s="108">
        <v>21</v>
      </c>
      <c r="X45" s="108">
        <v>22</v>
      </c>
      <c r="Y45" s="108">
        <v>23</v>
      </c>
      <c r="Z45" s="108">
        <v>24</v>
      </c>
      <c r="AA45" s="109">
        <v>25</v>
      </c>
    </row>
    <row r="46" spans="1:27" x14ac:dyDescent="0.3">
      <c r="A46" s="27" t="s">
        <v>117</v>
      </c>
      <c r="B46" s="56" t="s">
        <v>13</v>
      </c>
      <c r="C46" s="56">
        <v>4.3912381215417814E-3</v>
      </c>
      <c r="D46" s="56">
        <v>8.2447203241183833E-4</v>
      </c>
      <c r="E46" s="56">
        <v>4.5638274729482641E-4</v>
      </c>
      <c r="F46" s="56">
        <v>7.5190672623969655E-5</v>
      </c>
      <c r="G46" s="56">
        <v>1.1338088423114338E-2</v>
      </c>
      <c r="H46" s="56">
        <v>0</v>
      </c>
      <c r="I46" s="56">
        <v>0.64168058413786722</v>
      </c>
      <c r="J46" s="56">
        <v>1.1300227553991417E-8</v>
      </c>
      <c r="K46" s="56">
        <v>3.2410859041917522E-3</v>
      </c>
      <c r="L46" s="57">
        <v>5.5237947067261694E-6</v>
      </c>
      <c r="M46" s="94">
        <v>2.0381106414182472E-3</v>
      </c>
      <c r="N46" s="56">
        <v>1.0046858987720255E-4</v>
      </c>
      <c r="O46" s="56">
        <v>8.6935660145757347E-5</v>
      </c>
      <c r="P46" s="56">
        <v>4.5537971960190823E-4</v>
      </c>
      <c r="Q46" s="56">
        <v>8.86592697374599E-5</v>
      </c>
      <c r="R46" s="56">
        <v>0</v>
      </c>
      <c r="S46" s="56">
        <v>1.6972237981661615E-5</v>
      </c>
      <c r="T46" s="56">
        <v>0</v>
      </c>
      <c r="U46" s="56">
        <v>0</v>
      </c>
      <c r="V46" s="56">
        <v>0</v>
      </c>
      <c r="W46" s="56">
        <v>8.518362136207441E-3</v>
      </c>
      <c r="X46" s="56">
        <v>0.13581082766437264</v>
      </c>
      <c r="Y46" s="56">
        <v>0.1817081633689008</v>
      </c>
      <c r="Z46" s="56">
        <v>8.5821482844607531E-3</v>
      </c>
      <c r="AA46" s="56">
        <v>5.8139529331610194E-4</v>
      </c>
    </row>
    <row r="49" spans="1:29" ht="15" thickBot="1" x14ac:dyDescent="0.35">
      <c r="A49" s="83" t="s">
        <v>118</v>
      </c>
    </row>
    <row r="50" spans="1:29" ht="16.2" customHeight="1" thickBot="1" x14ac:dyDescent="0.35">
      <c r="A50" s="1"/>
      <c r="B50" s="111" t="s">
        <v>3</v>
      </c>
      <c r="C50" s="112">
        <v>1</v>
      </c>
      <c r="D50" s="112">
        <v>2</v>
      </c>
      <c r="E50" s="112">
        <v>3</v>
      </c>
      <c r="F50" s="112">
        <v>4</v>
      </c>
      <c r="G50" s="112">
        <v>5</v>
      </c>
      <c r="H50" s="112">
        <v>6</v>
      </c>
      <c r="I50" s="112">
        <v>7</v>
      </c>
      <c r="J50" s="112">
        <v>8</v>
      </c>
      <c r="K50" s="112">
        <v>9</v>
      </c>
      <c r="L50" s="112">
        <v>10</v>
      </c>
      <c r="M50" s="112">
        <v>11</v>
      </c>
      <c r="N50" s="112">
        <v>12</v>
      </c>
      <c r="O50" s="112">
        <v>13</v>
      </c>
      <c r="P50" s="112">
        <v>14</v>
      </c>
      <c r="Q50" s="112">
        <v>15</v>
      </c>
      <c r="R50" s="112">
        <v>16</v>
      </c>
      <c r="S50" s="112">
        <v>17</v>
      </c>
      <c r="T50" s="112">
        <v>18</v>
      </c>
      <c r="U50" s="112">
        <v>19</v>
      </c>
      <c r="V50" s="112">
        <v>20</v>
      </c>
      <c r="W50" s="112">
        <v>21</v>
      </c>
      <c r="X50" s="112">
        <v>22</v>
      </c>
      <c r="Y50" s="112">
        <v>23</v>
      </c>
      <c r="Z50" s="112">
        <v>24</v>
      </c>
      <c r="AA50" s="113">
        <v>25</v>
      </c>
    </row>
    <row r="51" spans="1:29" ht="15" thickBot="1" x14ac:dyDescent="0.35">
      <c r="A51" s="110" t="s">
        <v>119</v>
      </c>
      <c r="B51" s="114" t="s">
        <v>13</v>
      </c>
      <c r="C51" s="86">
        <v>1.3389332269189938E-2</v>
      </c>
      <c r="D51" s="86">
        <v>4.4671066494578445E-3</v>
      </c>
      <c r="E51" s="86">
        <v>1.1216810012967654E-2</v>
      </c>
      <c r="F51" s="86">
        <v>2.8981445161595978E-3</v>
      </c>
      <c r="G51" s="86">
        <v>0.47486766125448315</v>
      </c>
      <c r="H51" s="86">
        <v>0</v>
      </c>
      <c r="I51" s="86">
        <v>0.16436807786568558</v>
      </c>
      <c r="J51" s="86">
        <v>2.3950335845192433E-4</v>
      </c>
      <c r="K51" s="86">
        <v>3.8621203650436495E-3</v>
      </c>
      <c r="L51" s="86">
        <v>5.9385578602026468E-5</v>
      </c>
      <c r="M51" s="86">
        <v>0.31728503506911904</v>
      </c>
      <c r="N51" s="86">
        <v>6.5988446549058094E-7</v>
      </c>
      <c r="O51" s="86">
        <v>1.3367806760524034E-6</v>
      </c>
      <c r="P51" s="86">
        <v>2.6683278628769044E-6</v>
      </c>
      <c r="Q51" s="86">
        <v>2.0162805879673647E-4</v>
      </c>
      <c r="R51" s="86">
        <v>0</v>
      </c>
      <c r="S51" s="86">
        <v>4.2831627433325202E-5</v>
      </c>
      <c r="T51" s="86">
        <v>0</v>
      </c>
      <c r="U51" s="86">
        <v>0</v>
      </c>
      <c r="V51" s="86">
        <v>0</v>
      </c>
      <c r="W51" s="86">
        <v>6.5890987773889968E-3</v>
      </c>
      <c r="X51" s="86">
        <v>1.7936025122177195E-4</v>
      </c>
      <c r="Y51" s="86">
        <v>2.7768874643959308E-4</v>
      </c>
      <c r="Z51" s="86">
        <v>3.5522489271275773E-5</v>
      </c>
      <c r="AA51" s="85">
        <v>1.6028117283296925E-5</v>
      </c>
    </row>
    <row r="52" spans="1:29" x14ac:dyDescent="0.3">
      <c r="A52" s="83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</row>
    <row r="53" spans="1:29" x14ac:dyDescent="0.3">
      <c r="A53" s="83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</row>
    <row r="54" spans="1:29" ht="15" thickBot="1" x14ac:dyDescent="0.35">
      <c r="A54" s="83" t="s">
        <v>120</v>
      </c>
    </row>
    <row r="55" spans="1:29" ht="16.2" customHeight="1" thickBot="1" x14ac:dyDescent="0.35">
      <c r="A55" s="1"/>
      <c r="C55" s="107" t="s">
        <v>2</v>
      </c>
      <c r="D55" s="108" t="s">
        <v>3</v>
      </c>
      <c r="E55" s="108">
        <v>1</v>
      </c>
      <c r="F55" s="108">
        <v>2</v>
      </c>
      <c r="G55" s="108">
        <v>3</v>
      </c>
      <c r="H55" s="108">
        <v>4</v>
      </c>
      <c r="I55" s="108">
        <v>5</v>
      </c>
      <c r="J55" s="108">
        <v>6</v>
      </c>
      <c r="K55" s="108">
        <v>7</v>
      </c>
      <c r="L55" s="108">
        <v>8</v>
      </c>
      <c r="M55" s="108">
        <v>9</v>
      </c>
      <c r="N55" s="108">
        <v>10</v>
      </c>
      <c r="O55" s="108">
        <v>11</v>
      </c>
      <c r="P55" s="108">
        <v>12</v>
      </c>
      <c r="Q55" s="108">
        <v>13</v>
      </c>
      <c r="R55" s="108">
        <v>14</v>
      </c>
      <c r="S55" s="108">
        <v>15</v>
      </c>
      <c r="T55" s="108">
        <v>16</v>
      </c>
      <c r="U55" s="108">
        <v>17</v>
      </c>
      <c r="V55" s="108">
        <v>18</v>
      </c>
      <c r="W55" s="108">
        <v>19</v>
      </c>
      <c r="X55" s="108">
        <v>20</v>
      </c>
      <c r="Y55" s="108">
        <v>21</v>
      </c>
      <c r="Z55" s="108">
        <v>22</v>
      </c>
      <c r="AA55" s="108">
        <v>23</v>
      </c>
      <c r="AB55" s="108">
        <v>24</v>
      </c>
      <c r="AC55" s="109">
        <v>25</v>
      </c>
    </row>
    <row r="56" spans="1:29" ht="29.4" customHeight="1" x14ac:dyDescent="0.3">
      <c r="A56" s="133" t="s">
        <v>112</v>
      </c>
      <c r="B56" s="63" t="s">
        <v>95</v>
      </c>
      <c r="C56" s="131" t="s">
        <v>96</v>
      </c>
      <c r="D56" s="127" t="s">
        <v>121</v>
      </c>
      <c r="E56" s="115">
        <v>0.18354083586463174</v>
      </c>
      <c r="F56" s="7">
        <v>6.6711376180043302E-2</v>
      </c>
      <c r="G56" s="7">
        <v>2.0764793179898801E-2</v>
      </c>
      <c r="H56" s="7">
        <v>7.9055955730102001E-5</v>
      </c>
      <c r="I56" s="7">
        <v>6.7280393834956266E-3</v>
      </c>
      <c r="J56" s="7">
        <v>0</v>
      </c>
      <c r="K56" s="7">
        <v>0.42287803091128257</v>
      </c>
      <c r="L56" s="7">
        <v>1.0122480475406634E-4</v>
      </c>
      <c r="M56" s="7">
        <v>4.0703481226928712E-2</v>
      </c>
      <c r="N56" s="7">
        <v>4.807124857352592E-5</v>
      </c>
      <c r="O56" s="7">
        <v>0.10625303336528687</v>
      </c>
      <c r="P56" s="7">
        <v>7.5031962874553366E-4</v>
      </c>
      <c r="Q56" s="7">
        <v>4.2835520862546348E-4</v>
      </c>
      <c r="R56" s="7">
        <v>3.5995195190989368E-3</v>
      </c>
      <c r="S56" s="7">
        <v>9.3885129347038069E-4</v>
      </c>
      <c r="T56" s="7">
        <v>0</v>
      </c>
      <c r="U56" s="7">
        <v>1.8076277040696042E-4</v>
      </c>
      <c r="V56" s="7">
        <v>0</v>
      </c>
      <c r="W56" s="7">
        <v>0</v>
      </c>
      <c r="X56" s="7">
        <v>0</v>
      </c>
      <c r="Y56" s="7">
        <v>4.3300944226845925E-2</v>
      </c>
      <c r="Z56" s="7">
        <v>3.5564768405221568E-2</v>
      </c>
      <c r="AA56" s="7">
        <v>5.8980178279513649E-2</v>
      </c>
      <c r="AB56" s="7">
        <v>7.8693357968930878E-3</v>
      </c>
      <c r="AC56" s="8">
        <v>5.7902275055328608E-4</v>
      </c>
    </row>
    <row r="57" spans="1:29" ht="29.4" customHeight="1" thickBot="1" x14ac:dyDescent="0.35">
      <c r="A57" s="135"/>
      <c r="B57" s="42" t="s">
        <v>7</v>
      </c>
      <c r="C57" s="131"/>
      <c r="D57" s="127"/>
      <c r="E57" s="88">
        <v>1355.8</v>
      </c>
      <c r="F57" s="89">
        <v>1355.8</v>
      </c>
      <c r="G57" s="89">
        <v>1355.8</v>
      </c>
      <c r="H57" s="89">
        <v>1355.8</v>
      </c>
      <c r="I57" s="89">
        <v>1355.8</v>
      </c>
      <c r="J57" s="89">
        <v>1355.8</v>
      </c>
      <c r="K57" s="89">
        <v>1355.8</v>
      </c>
      <c r="L57" s="89">
        <v>1355.8</v>
      </c>
      <c r="M57" s="89">
        <v>1355.8</v>
      </c>
      <c r="N57" s="89">
        <v>1355.8</v>
      </c>
      <c r="O57" s="89">
        <v>1355.8</v>
      </c>
      <c r="P57" s="89">
        <v>1355.8</v>
      </c>
      <c r="Q57" s="89">
        <v>1355.8</v>
      </c>
      <c r="R57" s="89">
        <v>1355.8</v>
      </c>
      <c r="S57" s="89">
        <v>1355.8</v>
      </c>
      <c r="T57" s="89">
        <v>1355.8</v>
      </c>
      <c r="U57" s="89">
        <v>1355.8</v>
      </c>
      <c r="V57" s="89">
        <v>1355.8</v>
      </c>
      <c r="W57" s="89">
        <v>1355.8</v>
      </c>
      <c r="X57" s="89">
        <v>1355.8</v>
      </c>
      <c r="Y57" s="89">
        <v>1355.8</v>
      </c>
      <c r="Z57" s="89">
        <v>1355.8</v>
      </c>
      <c r="AA57" s="89">
        <v>1355.8</v>
      </c>
      <c r="AB57" s="89">
        <v>1355.8</v>
      </c>
      <c r="AC57" s="90">
        <v>1355.8</v>
      </c>
    </row>
    <row r="58" spans="1:29" ht="29.4" customHeight="1" x14ac:dyDescent="0.3">
      <c r="A58" s="133" t="s">
        <v>113</v>
      </c>
      <c r="B58" s="63" t="s">
        <v>95</v>
      </c>
      <c r="C58" s="131"/>
      <c r="D58" s="127"/>
      <c r="E58" s="19">
        <v>0.10948891283911798</v>
      </c>
      <c r="F58" s="20">
        <v>4.7254001523970746E-2</v>
      </c>
      <c r="G58" s="20">
        <v>1.7795164946373454E-2</v>
      </c>
      <c r="H58" s="20">
        <v>1.037550134743227E-4</v>
      </c>
      <c r="I58" s="20">
        <v>2.9109815950096652E-3</v>
      </c>
      <c r="J58" s="20">
        <v>0</v>
      </c>
      <c r="K58" s="20">
        <v>0.50848312289074526</v>
      </c>
      <c r="L58" s="20">
        <v>2.1950205537120626E-4</v>
      </c>
      <c r="M58" s="20">
        <v>2.0849970900219603E-2</v>
      </c>
      <c r="N58" s="20">
        <v>1.954365980166908E-4</v>
      </c>
      <c r="O58" s="20">
        <v>7.1893790411567279E-2</v>
      </c>
      <c r="P58" s="20">
        <v>3.4923901139460021E-4</v>
      </c>
      <c r="Q58" s="20">
        <v>1.8730340173817085E-4</v>
      </c>
      <c r="R58" s="20">
        <v>1.6647312643522248E-3</v>
      </c>
      <c r="S58" s="20">
        <v>5.950928673019582E-4</v>
      </c>
      <c r="T58" s="20">
        <v>0</v>
      </c>
      <c r="U58" s="20">
        <v>1.267911907925537E-4</v>
      </c>
      <c r="V58" s="20">
        <v>0</v>
      </c>
      <c r="W58" s="20">
        <v>0</v>
      </c>
      <c r="X58" s="20">
        <v>0</v>
      </c>
      <c r="Y58" s="20">
        <v>3.7023682098289164E-2</v>
      </c>
      <c r="Z58" s="20">
        <v>7.3743844464037284E-2</v>
      </c>
      <c r="AA58" s="20">
        <v>9.6792135916296027E-2</v>
      </c>
      <c r="AB58" s="20">
        <v>9.982607425142875E-3</v>
      </c>
      <c r="AC58" s="21">
        <v>3.3993358678886305E-4</v>
      </c>
    </row>
    <row r="59" spans="1:29" ht="29.4" customHeight="1" thickBot="1" x14ac:dyDescent="0.35">
      <c r="A59" s="135"/>
      <c r="B59" s="42" t="s">
        <v>7</v>
      </c>
      <c r="C59" s="131"/>
      <c r="D59" s="127"/>
      <c r="E59" s="88">
        <v>3838.509</v>
      </c>
      <c r="F59" s="89">
        <v>3838.509</v>
      </c>
      <c r="G59" s="89">
        <v>3838.509</v>
      </c>
      <c r="H59" s="89">
        <v>3838.509</v>
      </c>
      <c r="I59" s="89">
        <v>3838.509</v>
      </c>
      <c r="J59" s="89">
        <v>3838.509</v>
      </c>
      <c r="K59" s="89">
        <v>3838.509</v>
      </c>
      <c r="L59" s="89">
        <v>3838.509</v>
      </c>
      <c r="M59" s="89">
        <v>3838.509</v>
      </c>
      <c r="N59" s="89">
        <v>3838.509</v>
      </c>
      <c r="O59" s="89">
        <v>3838.509</v>
      </c>
      <c r="P59" s="89">
        <v>3838.509</v>
      </c>
      <c r="Q59" s="89">
        <v>3838.509</v>
      </c>
      <c r="R59" s="89">
        <v>3838.509</v>
      </c>
      <c r="S59" s="89">
        <v>3838.509</v>
      </c>
      <c r="T59" s="89">
        <v>3838.509</v>
      </c>
      <c r="U59" s="89">
        <v>3838.509</v>
      </c>
      <c r="V59" s="89">
        <v>3838.509</v>
      </c>
      <c r="W59" s="89">
        <v>3838.509</v>
      </c>
      <c r="X59" s="89">
        <v>3838.509</v>
      </c>
      <c r="Y59" s="89">
        <v>3838.509</v>
      </c>
      <c r="Z59" s="89">
        <v>3838.509</v>
      </c>
      <c r="AA59" s="89">
        <v>3838.509</v>
      </c>
      <c r="AB59" s="89">
        <v>3838.509</v>
      </c>
      <c r="AC59" s="90">
        <v>3838.509</v>
      </c>
    </row>
    <row r="60" spans="1:29" ht="29.4" customHeight="1" x14ac:dyDescent="0.3">
      <c r="A60" s="133" t="s">
        <v>114</v>
      </c>
      <c r="B60" s="63" t="s">
        <v>95</v>
      </c>
      <c r="C60" s="131"/>
      <c r="D60" s="127"/>
      <c r="E60" s="20">
        <v>3.320682110482534E-2</v>
      </c>
      <c r="F60" s="20">
        <v>2.6347290691426824E-2</v>
      </c>
      <c r="G60" s="20">
        <v>1.5475928991794783E-2</v>
      </c>
      <c r="H60" s="20">
        <v>3.8437688795698577E-5</v>
      </c>
      <c r="I60" s="20">
        <v>3.1875764941066173E-3</v>
      </c>
      <c r="J60" s="20">
        <v>0</v>
      </c>
      <c r="K60" s="20">
        <v>0.63856878117074212</v>
      </c>
      <c r="L60" s="20">
        <v>2.5279702448185655E-7</v>
      </c>
      <c r="M60" s="20">
        <v>1.9189759451447838E-2</v>
      </c>
      <c r="N60" s="20">
        <v>9.0208690988366461E-5</v>
      </c>
      <c r="O60" s="20">
        <v>5.6264378861522864E-2</v>
      </c>
      <c r="P60" s="20">
        <v>5.7299147129496119E-4</v>
      </c>
      <c r="Q60" s="20">
        <v>1.2290217602983291E-3</v>
      </c>
      <c r="R60" s="20">
        <v>2.2075677952016668E-3</v>
      </c>
      <c r="S60" s="20">
        <v>8.4298490248041729E-4</v>
      </c>
      <c r="T60" s="20">
        <v>0</v>
      </c>
      <c r="U60" s="20">
        <v>1.6495956575114759E-4</v>
      </c>
      <c r="V60" s="20">
        <v>0</v>
      </c>
      <c r="W60" s="20">
        <v>0</v>
      </c>
      <c r="X60" s="20">
        <v>0</v>
      </c>
      <c r="Y60" s="20">
        <v>4.3283911964198632E-2</v>
      </c>
      <c r="Z60" s="20">
        <v>3.1471867781758554E-2</v>
      </c>
      <c r="AA60" s="20">
        <v>0.12285082681298926</v>
      </c>
      <c r="AB60" s="20">
        <v>4.0372783067984114E-3</v>
      </c>
      <c r="AC60" s="21">
        <v>9.6915369655368208E-4</v>
      </c>
    </row>
    <row r="61" spans="1:29" ht="29.4" customHeight="1" thickBot="1" x14ac:dyDescent="0.35">
      <c r="A61" s="135"/>
      <c r="B61" s="42" t="s">
        <v>7</v>
      </c>
      <c r="C61" s="132"/>
      <c r="D61" s="128"/>
      <c r="E61" s="23">
        <v>24672.571</v>
      </c>
      <c r="F61" s="15">
        <v>24672.571</v>
      </c>
      <c r="G61" s="15">
        <v>24672.571</v>
      </c>
      <c r="H61" s="15">
        <v>24672.571</v>
      </c>
      <c r="I61" s="15">
        <v>24672.571</v>
      </c>
      <c r="J61" s="15">
        <v>24672.571</v>
      </c>
      <c r="K61" s="15">
        <v>24672.571</v>
      </c>
      <c r="L61" s="15">
        <v>24672.571</v>
      </c>
      <c r="M61" s="15">
        <v>24672.571</v>
      </c>
      <c r="N61" s="15">
        <v>24672.571</v>
      </c>
      <c r="O61" s="15">
        <v>24672.571</v>
      </c>
      <c r="P61" s="15">
        <v>24672.571</v>
      </c>
      <c r="Q61" s="15">
        <v>24672.571</v>
      </c>
      <c r="R61" s="15">
        <v>24672.571</v>
      </c>
      <c r="S61" s="15">
        <v>24672.571</v>
      </c>
      <c r="T61" s="15">
        <v>24672.571</v>
      </c>
      <c r="U61" s="15">
        <v>24672.571</v>
      </c>
      <c r="V61" s="15">
        <v>24672.571</v>
      </c>
      <c r="W61" s="15">
        <v>24672.571</v>
      </c>
      <c r="X61" s="15">
        <v>24672.571</v>
      </c>
      <c r="Y61" s="15">
        <v>24672.571</v>
      </c>
      <c r="Z61" s="15">
        <v>24672.571</v>
      </c>
      <c r="AA61" s="15">
        <v>24672.571</v>
      </c>
      <c r="AB61" s="15">
        <v>24672.571</v>
      </c>
      <c r="AC61" s="16">
        <v>24672.571</v>
      </c>
    </row>
    <row r="62" spans="1:29" x14ac:dyDescent="0.3">
      <c r="A62" s="71"/>
    </row>
    <row r="63" spans="1:29" ht="15" thickBot="1" x14ac:dyDescent="0.35">
      <c r="A63" s="1" t="s">
        <v>91</v>
      </c>
    </row>
    <row r="64" spans="1:29" ht="15" thickBot="1" x14ac:dyDescent="0.35">
      <c r="B64" s="107" t="s">
        <v>3</v>
      </c>
      <c r="C64" s="108">
        <v>1</v>
      </c>
      <c r="D64" s="108">
        <v>2</v>
      </c>
      <c r="E64" s="108">
        <v>3</v>
      </c>
      <c r="F64" s="108">
        <v>4</v>
      </c>
      <c r="G64" s="108">
        <v>5</v>
      </c>
      <c r="H64" s="108">
        <v>6</v>
      </c>
      <c r="I64" s="108">
        <v>7</v>
      </c>
      <c r="J64" s="108">
        <v>8</v>
      </c>
      <c r="K64" s="108">
        <v>9</v>
      </c>
      <c r="L64" s="108">
        <v>10</v>
      </c>
      <c r="M64" s="108">
        <v>11</v>
      </c>
      <c r="N64" s="108">
        <v>12</v>
      </c>
      <c r="O64" s="108">
        <v>13</v>
      </c>
      <c r="P64" s="108">
        <v>14</v>
      </c>
      <c r="Q64" s="108">
        <v>15</v>
      </c>
      <c r="R64" s="108">
        <v>16</v>
      </c>
      <c r="S64" s="108">
        <v>17</v>
      </c>
      <c r="T64" s="108">
        <v>18</v>
      </c>
      <c r="U64" s="108">
        <v>19</v>
      </c>
      <c r="V64" s="108">
        <v>20</v>
      </c>
      <c r="W64" s="108">
        <v>21</v>
      </c>
      <c r="X64" s="108">
        <v>22</v>
      </c>
      <c r="Y64" s="108">
        <v>23</v>
      </c>
      <c r="Z64" s="108">
        <v>24</v>
      </c>
      <c r="AA64" s="109">
        <v>25</v>
      </c>
    </row>
    <row r="65" spans="1:28" ht="15" thickBot="1" x14ac:dyDescent="0.35">
      <c r="A65" s="59" t="s">
        <v>40</v>
      </c>
      <c r="B65" s="56" t="s">
        <v>13</v>
      </c>
      <c r="C65" s="7">
        <v>0.90850614735939672</v>
      </c>
      <c r="D65" s="7">
        <v>0.74501289621873701</v>
      </c>
      <c r="E65" s="7">
        <v>0.90449143324958958</v>
      </c>
      <c r="F65" s="7">
        <v>2.2748267372454887</v>
      </c>
      <c r="G65" s="7">
        <v>0.42762046427204031</v>
      </c>
      <c r="H65" s="7">
        <v>0</v>
      </c>
      <c r="I65" s="7">
        <v>2.1753633368117997</v>
      </c>
      <c r="J65" s="7">
        <v>0.90449143324958958</v>
      </c>
      <c r="K65" s="7">
        <v>1.7131393184360355</v>
      </c>
      <c r="L65" s="7">
        <v>2.1753633368117997</v>
      </c>
      <c r="M65" s="7">
        <v>0.72141651662041184</v>
      </c>
      <c r="N65" s="7">
        <v>2.1753633368117997</v>
      </c>
      <c r="O65" s="7">
        <v>2.1753633368117997</v>
      </c>
      <c r="P65" s="7">
        <v>2.1753633368117997</v>
      </c>
      <c r="Q65" s="7">
        <v>2.1753633368117997</v>
      </c>
      <c r="R65" s="7">
        <v>2.1753633368117997</v>
      </c>
      <c r="S65" s="7">
        <v>2.1753633368117997</v>
      </c>
      <c r="T65" s="7">
        <v>2.1753633368117997</v>
      </c>
      <c r="U65" s="7">
        <v>2.1753633368117997</v>
      </c>
      <c r="V65" s="7">
        <v>2.1753633368117997</v>
      </c>
      <c r="W65" s="7">
        <v>1.5631108087011365</v>
      </c>
      <c r="X65" s="7">
        <v>1.0744621669040209</v>
      </c>
      <c r="Y65" s="7">
        <v>1.4402693561538957</v>
      </c>
      <c r="Z65" s="7">
        <v>2.1753633368117997</v>
      </c>
      <c r="AA65" s="7">
        <v>2.1753633368117997</v>
      </c>
    </row>
    <row r="67" spans="1:28" ht="15" thickBot="1" x14ac:dyDescent="0.35">
      <c r="A67" s="1" t="s">
        <v>61</v>
      </c>
    </row>
    <row r="68" spans="1:28" ht="15" thickBot="1" x14ac:dyDescent="0.35">
      <c r="B68" s="107" t="s">
        <v>2</v>
      </c>
      <c r="C68" s="108" t="s">
        <v>3</v>
      </c>
      <c r="D68" s="109" t="s">
        <v>76</v>
      </c>
    </row>
    <row r="69" spans="1:28" ht="43.2" x14ac:dyDescent="0.3">
      <c r="A69" s="18" t="s">
        <v>92</v>
      </c>
      <c r="B69" s="131" t="s">
        <v>94</v>
      </c>
      <c r="C69" s="57" t="s">
        <v>55</v>
      </c>
      <c r="D69" s="116">
        <v>2E-3</v>
      </c>
    </row>
    <row r="70" spans="1:28" ht="43.2" x14ac:dyDescent="0.3">
      <c r="A70" s="9" t="s">
        <v>92</v>
      </c>
      <c r="B70" s="131"/>
      <c r="C70" s="34" t="s">
        <v>55</v>
      </c>
      <c r="D70" s="69">
        <v>3.0000000000000001E-3</v>
      </c>
    </row>
    <row r="71" spans="1:28" ht="43.2" x14ac:dyDescent="0.3">
      <c r="A71" s="9" t="s">
        <v>92</v>
      </c>
      <c r="B71" s="131"/>
      <c r="C71" s="34" t="s">
        <v>55</v>
      </c>
      <c r="D71" s="69">
        <v>4.0000000000000001E-3</v>
      </c>
    </row>
    <row r="72" spans="1:28" ht="15" thickBot="1" x14ac:dyDescent="0.35">
      <c r="A72" s="13" t="s">
        <v>93</v>
      </c>
      <c r="B72" s="132"/>
      <c r="C72" s="39" t="s">
        <v>55</v>
      </c>
      <c r="D72" s="70">
        <v>7.9577999999999998</v>
      </c>
    </row>
    <row r="74" spans="1:28" ht="15" thickBot="1" x14ac:dyDescent="0.35">
      <c r="A74" s="67" t="s">
        <v>58</v>
      </c>
    </row>
    <row r="75" spans="1:28" ht="15" thickBot="1" x14ac:dyDescent="0.35">
      <c r="A75" s="68"/>
      <c r="B75" s="107" t="s">
        <v>2</v>
      </c>
      <c r="C75" s="108" t="s">
        <v>3</v>
      </c>
      <c r="D75" s="108">
        <v>1</v>
      </c>
      <c r="E75" s="108">
        <v>2</v>
      </c>
      <c r="F75" s="108">
        <v>3</v>
      </c>
      <c r="G75" s="108">
        <v>4</v>
      </c>
      <c r="H75" s="108">
        <v>5</v>
      </c>
      <c r="I75" s="108">
        <v>6</v>
      </c>
      <c r="J75" s="108">
        <v>7</v>
      </c>
      <c r="K75" s="108">
        <v>8</v>
      </c>
      <c r="L75" s="108">
        <v>9</v>
      </c>
      <c r="M75" s="108">
        <v>10</v>
      </c>
      <c r="N75" s="108">
        <v>11</v>
      </c>
      <c r="O75" s="108">
        <v>12</v>
      </c>
      <c r="P75" s="108">
        <v>13</v>
      </c>
      <c r="Q75" s="108">
        <v>14</v>
      </c>
      <c r="R75" s="108">
        <v>15</v>
      </c>
      <c r="S75" s="108">
        <v>16</v>
      </c>
      <c r="T75" s="108">
        <v>17</v>
      </c>
      <c r="U75" s="108">
        <v>18</v>
      </c>
      <c r="V75" s="108">
        <v>19</v>
      </c>
      <c r="W75" s="108">
        <v>20</v>
      </c>
      <c r="X75" s="108">
        <v>21</v>
      </c>
      <c r="Y75" s="108">
        <v>22</v>
      </c>
      <c r="Z75" s="108">
        <v>23</v>
      </c>
      <c r="AA75" s="108">
        <v>24</v>
      </c>
      <c r="AB75" s="109">
        <v>25</v>
      </c>
    </row>
    <row r="76" spans="1:28" ht="15" thickBot="1" x14ac:dyDescent="0.35">
      <c r="A76" s="2" t="s">
        <v>59</v>
      </c>
      <c r="B76" s="129" t="s">
        <v>122</v>
      </c>
      <c r="C76" s="57" t="s">
        <v>13</v>
      </c>
      <c r="D76" s="94">
        <v>9.3025266458600958E-2</v>
      </c>
      <c r="E76" s="56">
        <v>1.6018444605467381E-2</v>
      </c>
      <c r="F76" s="56">
        <v>9.3025266458600972E-2</v>
      </c>
      <c r="G76" s="56">
        <v>1.6018444605467381E-2</v>
      </c>
      <c r="H76" s="56">
        <v>1.6018444605467381E-2</v>
      </c>
      <c r="I76" s="56">
        <v>0</v>
      </c>
      <c r="J76" s="56">
        <v>1.6018444605467381E-2</v>
      </c>
      <c r="K76" s="56">
        <v>9.3025266458600972E-2</v>
      </c>
      <c r="L76" s="56">
        <v>1.6018444605467381E-2</v>
      </c>
      <c r="M76" s="56">
        <v>1.6018444605467381E-2</v>
      </c>
      <c r="N76" s="56">
        <v>1.6018444605467381E-2</v>
      </c>
      <c r="O76" s="56">
        <v>9.3025266458600972E-2</v>
      </c>
      <c r="P76" s="56">
        <v>9.3025266458600972E-2</v>
      </c>
      <c r="Q76" s="56">
        <v>9.3025266458600972E-2</v>
      </c>
      <c r="R76" s="56">
        <v>9.3025266458600972E-2</v>
      </c>
      <c r="S76" s="56">
        <v>9.3025266458600972E-2</v>
      </c>
      <c r="T76" s="56">
        <v>9.3025266458600972E-2</v>
      </c>
      <c r="U76" s="56">
        <v>9.3025266458600972E-2</v>
      </c>
      <c r="V76" s="56">
        <v>9.3025266458600972E-2</v>
      </c>
      <c r="W76" s="56">
        <v>9.3025266458600972E-2</v>
      </c>
      <c r="X76" s="56">
        <v>9.3025266458600958E-2</v>
      </c>
      <c r="Y76" s="56">
        <v>1.6018444605467381E-2</v>
      </c>
      <c r="Z76" s="56">
        <v>1.6018444605467381E-2</v>
      </c>
      <c r="AA76" s="56">
        <v>9.3025266458600972E-2</v>
      </c>
      <c r="AB76" s="57">
        <v>9.3025266458600972E-2</v>
      </c>
    </row>
    <row r="77" spans="1:28" ht="15" thickBot="1" x14ac:dyDescent="0.35">
      <c r="A77" s="2" t="s">
        <v>60</v>
      </c>
      <c r="B77" s="130"/>
      <c r="C77" s="57" t="s">
        <v>13</v>
      </c>
      <c r="D77" s="37">
        <v>0.1322449398556228</v>
      </c>
      <c r="E77" s="38">
        <v>2.2771858916129976E-2</v>
      </c>
      <c r="F77" s="38">
        <v>0.13224493965654743</v>
      </c>
      <c r="G77" s="38">
        <v>2.2771858916129976E-2</v>
      </c>
      <c r="H77" s="38">
        <v>2.2771858916129976E-2</v>
      </c>
      <c r="I77" s="38">
        <v>0</v>
      </c>
      <c r="J77" s="38">
        <v>2.2771858916129976E-2</v>
      </c>
      <c r="K77" s="38">
        <v>0.13224493965654743</v>
      </c>
      <c r="L77" s="38">
        <v>2.2771858916129976E-2</v>
      </c>
      <c r="M77" s="38">
        <v>2.2771858916129976E-2</v>
      </c>
      <c r="N77" s="38">
        <v>2.2771858916129976E-2</v>
      </c>
      <c r="O77" s="38">
        <v>0.13224493965654743</v>
      </c>
      <c r="P77" s="38">
        <v>0.13224493965654743</v>
      </c>
      <c r="Q77" s="38">
        <v>0.13224493965654743</v>
      </c>
      <c r="R77" s="38">
        <v>0.13224493965654743</v>
      </c>
      <c r="S77" s="38">
        <v>0.13224493965654743</v>
      </c>
      <c r="T77" s="38">
        <v>0.13224493965654743</v>
      </c>
      <c r="U77" s="38">
        <v>0.13224493965654743</v>
      </c>
      <c r="V77" s="38">
        <v>0.13224493965654743</v>
      </c>
      <c r="W77" s="38">
        <v>0.13224493965654743</v>
      </c>
      <c r="X77" s="38">
        <v>0.1322449398556228</v>
      </c>
      <c r="Y77" s="38">
        <v>2.2771858916129976E-2</v>
      </c>
      <c r="Z77" s="38">
        <v>2.2771858916129976E-2</v>
      </c>
      <c r="AA77" s="38">
        <v>0.13224493965654743</v>
      </c>
      <c r="AB77" s="39">
        <v>0.13224493965654743</v>
      </c>
    </row>
    <row r="79" spans="1:28" ht="15" thickBot="1" x14ac:dyDescent="0.35">
      <c r="A79" s="1" t="s">
        <v>90</v>
      </c>
    </row>
    <row r="80" spans="1:28" ht="15" thickBot="1" x14ac:dyDescent="0.35">
      <c r="A80" s="1"/>
      <c r="B80" s="107" t="s">
        <v>2</v>
      </c>
      <c r="C80" s="108" t="s">
        <v>3</v>
      </c>
      <c r="D80" s="108">
        <v>1</v>
      </c>
      <c r="E80" s="108">
        <v>2</v>
      </c>
      <c r="F80" s="108">
        <v>3</v>
      </c>
      <c r="G80" s="108">
        <v>4</v>
      </c>
      <c r="H80" s="108">
        <v>5</v>
      </c>
      <c r="I80" s="108">
        <v>6</v>
      </c>
      <c r="J80" s="108">
        <v>7</v>
      </c>
      <c r="K80" s="108">
        <v>8</v>
      </c>
      <c r="L80" s="108">
        <v>9</v>
      </c>
      <c r="M80" s="108">
        <v>10</v>
      </c>
      <c r="N80" s="108">
        <v>11</v>
      </c>
      <c r="O80" s="108">
        <v>12</v>
      </c>
      <c r="P80" s="108">
        <v>13</v>
      </c>
      <c r="Q80" s="108">
        <v>14</v>
      </c>
      <c r="R80" s="108">
        <v>15</v>
      </c>
      <c r="S80" s="108">
        <v>16</v>
      </c>
      <c r="T80" s="108">
        <v>17</v>
      </c>
      <c r="U80" s="108">
        <v>18</v>
      </c>
      <c r="V80" s="108">
        <v>19</v>
      </c>
      <c r="W80" s="108">
        <v>20</v>
      </c>
      <c r="X80" s="108">
        <v>21</v>
      </c>
      <c r="Y80" s="108">
        <v>22</v>
      </c>
      <c r="Z80" s="108">
        <v>23</v>
      </c>
      <c r="AA80" s="108">
        <v>24</v>
      </c>
      <c r="AB80" s="109">
        <v>25</v>
      </c>
    </row>
    <row r="81" spans="1:28" ht="29.4" customHeight="1" thickBot="1" x14ac:dyDescent="0.35">
      <c r="A81" s="2" t="s">
        <v>89</v>
      </c>
      <c r="B81" s="117" t="s">
        <v>123</v>
      </c>
      <c r="C81" s="117" t="s">
        <v>62</v>
      </c>
      <c r="D81" s="117">
        <v>0</v>
      </c>
      <c r="E81" s="117">
        <v>0</v>
      </c>
      <c r="F81" s="117">
        <v>0</v>
      </c>
      <c r="G81" s="117">
        <v>0</v>
      </c>
      <c r="H81" s="117">
        <v>166000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  <c r="O81" s="117">
        <v>0</v>
      </c>
      <c r="P81" s="117">
        <v>0</v>
      </c>
      <c r="Q81" s="117">
        <v>0</v>
      </c>
      <c r="R81" s="117">
        <v>0</v>
      </c>
      <c r="S81" s="117">
        <v>0</v>
      </c>
      <c r="T81" s="117">
        <v>0</v>
      </c>
      <c r="U81" s="117">
        <v>0</v>
      </c>
      <c r="V81" s="117">
        <v>0</v>
      </c>
      <c r="W81" s="117">
        <v>0</v>
      </c>
      <c r="X81" s="117">
        <v>0</v>
      </c>
      <c r="Y81" s="117">
        <v>0</v>
      </c>
      <c r="Z81" s="117">
        <v>0</v>
      </c>
      <c r="AA81" s="117">
        <v>0</v>
      </c>
      <c r="AB81" s="98">
        <v>0</v>
      </c>
    </row>
    <row r="83" spans="1:28" ht="15" thickBot="1" x14ac:dyDescent="0.35">
      <c r="A83" s="67" t="s">
        <v>68</v>
      </c>
    </row>
    <row r="84" spans="1:28" ht="15" thickBot="1" x14ac:dyDescent="0.35">
      <c r="A84" s="1"/>
      <c r="B84" s="107" t="s">
        <v>2</v>
      </c>
      <c r="C84" s="108" t="s">
        <v>3</v>
      </c>
      <c r="D84" s="108">
        <v>1</v>
      </c>
      <c r="E84" s="108">
        <v>2</v>
      </c>
      <c r="F84" s="108">
        <v>3</v>
      </c>
      <c r="G84" s="108">
        <v>4</v>
      </c>
      <c r="H84" s="108">
        <v>5</v>
      </c>
      <c r="I84" s="108">
        <v>6</v>
      </c>
      <c r="J84" s="108">
        <v>7</v>
      </c>
      <c r="K84" s="108">
        <v>8</v>
      </c>
      <c r="L84" s="108">
        <v>9</v>
      </c>
      <c r="M84" s="108">
        <v>10</v>
      </c>
      <c r="N84" s="108">
        <v>11</v>
      </c>
      <c r="O84" s="108">
        <v>12</v>
      </c>
      <c r="P84" s="108">
        <v>13</v>
      </c>
      <c r="Q84" s="108">
        <v>14</v>
      </c>
      <c r="R84" s="108">
        <v>15</v>
      </c>
      <c r="S84" s="108">
        <v>16</v>
      </c>
      <c r="T84" s="108">
        <v>17</v>
      </c>
      <c r="U84" s="108">
        <v>18</v>
      </c>
      <c r="V84" s="108">
        <v>19</v>
      </c>
      <c r="W84" s="108">
        <v>20</v>
      </c>
      <c r="X84" s="108">
        <v>21</v>
      </c>
      <c r="Y84" s="108">
        <v>22</v>
      </c>
      <c r="Z84" s="108">
        <v>23</v>
      </c>
      <c r="AA84" s="108">
        <v>24</v>
      </c>
      <c r="AB84" s="109">
        <v>25</v>
      </c>
    </row>
    <row r="85" spans="1:28" ht="15" thickBot="1" x14ac:dyDescent="0.35">
      <c r="A85" s="2" t="s">
        <v>63</v>
      </c>
      <c r="B85" s="117" t="s">
        <v>124</v>
      </c>
      <c r="C85" s="117" t="s">
        <v>13</v>
      </c>
      <c r="D85" s="117">
        <v>0.27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  <c r="O85" s="117">
        <v>0</v>
      </c>
      <c r="P85" s="117">
        <v>0</v>
      </c>
      <c r="Q85" s="117">
        <v>0</v>
      </c>
      <c r="R85" s="117">
        <v>0</v>
      </c>
      <c r="S85" s="117">
        <v>0</v>
      </c>
      <c r="T85" s="117">
        <v>0</v>
      </c>
      <c r="U85" s="117">
        <v>0</v>
      </c>
      <c r="V85" s="117">
        <v>0</v>
      </c>
      <c r="W85" s="117">
        <v>0</v>
      </c>
      <c r="X85" s="117">
        <v>0</v>
      </c>
      <c r="Y85" s="117">
        <v>0</v>
      </c>
      <c r="Z85" s="117">
        <v>0</v>
      </c>
      <c r="AA85" s="117">
        <v>0</v>
      </c>
      <c r="AB85" s="98">
        <v>0</v>
      </c>
    </row>
    <row r="87" spans="1:28" ht="15" thickBot="1" x14ac:dyDescent="0.35">
      <c r="A87" s="67" t="s">
        <v>64</v>
      </c>
    </row>
    <row r="88" spans="1:28" ht="15" thickBot="1" x14ac:dyDescent="0.35">
      <c r="B88" s="17" t="s">
        <v>2</v>
      </c>
      <c r="C88" s="24" t="s">
        <v>3</v>
      </c>
      <c r="D88" s="54">
        <v>1</v>
      </c>
    </row>
    <row r="89" spans="1:28" ht="59.4" customHeight="1" x14ac:dyDescent="0.3">
      <c r="A89" s="18" t="s">
        <v>69</v>
      </c>
      <c r="B89" s="58" t="s">
        <v>155</v>
      </c>
      <c r="C89" s="34" t="s">
        <v>13</v>
      </c>
      <c r="D89" s="69">
        <f>1/(1-OUTPUT_LOSSES_FACTOR)</f>
        <v>1.3698630136986301</v>
      </c>
    </row>
    <row r="90" spans="1:28" x14ac:dyDescent="0.3">
      <c r="A90" s="9" t="s">
        <v>65</v>
      </c>
      <c r="B90" s="33"/>
      <c r="C90" s="34" t="s">
        <v>13</v>
      </c>
      <c r="D90" s="69">
        <v>5.4712999999999998E-2</v>
      </c>
    </row>
    <row r="91" spans="1:28" x14ac:dyDescent="0.3">
      <c r="A91" s="9" t="s">
        <v>66</v>
      </c>
      <c r="B91" s="33"/>
      <c r="C91" s="34" t="s">
        <v>13</v>
      </c>
      <c r="D91" s="69">
        <v>0.153196</v>
      </c>
    </row>
    <row r="92" spans="1:28" ht="15" thickBot="1" x14ac:dyDescent="0.35">
      <c r="A92" s="13" t="s">
        <v>67</v>
      </c>
      <c r="B92" s="38"/>
      <c r="C92" s="34" t="s">
        <v>13</v>
      </c>
      <c r="D92" s="70">
        <v>1.107237</v>
      </c>
    </row>
    <row r="127" spans="37:56" x14ac:dyDescent="0.3">
      <c r="AK127" s="44"/>
      <c r="AL127" s="44"/>
      <c r="AM127" s="44"/>
      <c r="AN127" s="44"/>
      <c r="AO127" s="44"/>
      <c r="AP127" s="44"/>
      <c r="AQ127" s="44"/>
      <c r="AX127" s="44"/>
      <c r="AY127" s="44"/>
      <c r="AZ127" s="44"/>
      <c r="BA127" s="44"/>
      <c r="BB127" s="44"/>
      <c r="BC127" s="44"/>
      <c r="BD127" s="44"/>
    </row>
    <row r="128" spans="37:56" x14ac:dyDescent="0.3">
      <c r="AK128" s="44"/>
      <c r="AL128" s="44"/>
      <c r="AM128" s="44"/>
      <c r="AN128" s="44"/>
      <c r="AO128" s="44"/>
      <c r="AP128" s="44"/>
      <c r="AQ128" s="44"/>
      <c r="AX128" s="44"/>
      <c r="AY128" s="44"/>
      <c r="AZ128" s="44"/>
      <c r="BA128" s="44"/>
      <c r="BB128" s="44"/>
      <c r="BC128" s="44"/>
      <c r="BD128" s="44"/>
    </row>
    <row r="129" spans="37:56" x14ac:dyDescent="0.3">
      <c r="AK129" s="44"/>
      <c r="AL129" s="44"/>
      <c r="AM129" s="44"/>
      <c r="AN129" s="44"/>
      <c r="AO129" s="44"/>
      <c r="AP129" s="44"/>
      <c r="AQ129" s="44"/>
      <c r="AY129" s="44"/>
      <c r="AZ129" s="44"/>
      <c r="BA129" s="44"/>
      <c r="BB129" s="44"/>
      <c r="BC129" s="44"/>
      <c r="BD129" s="44"/>
    </row>
    <row r="130" spans="37:56" x14ac:dyDescent="0.3">
      <c r="AK130" s="44"/>
      <c r="AL130" s="44"/>
      <c r="AM130" s="44"/>
      <c r="AN130" s="44"/>
      <c r="AO130" s="44"/>
      <c r="AP130" s="44"/>
      <c r="AQ130" s="44"/>
      <c r="AX130" s="44"/>
      <c r="AY130" s="44"/>
      <c r="AZ130" s="44"/>
      <c r="BA130" s="44"/>
      <c r="BB130" s="44"/>
      <c r="BC130" s="44"/>
      <c r="BD130" s="44"/>
    </row>
    <row r="131" spans="37:56" x14ac:dyDescent="0.3">
      <c r="AK131" s="44"/>
      <c r="AL131" s="44"/>
      <c r="AM131" s="44"/>
      <c r="AN131" s="44"/>
      <c r="AO131" s="44"/>
      <c r="AP131" s="44"/>
      <c r="AQ131" s="44"/>
      <c r="AX131" s="44"/>
      <c r="AY131" s="44"/>
      <c r="AZ131" s="44"/>
      <c r="BA131" s="44"/>
      <c r="BB131" s="44"/>
      <c r="BC131" s="44"/>
      <c r="BD131" s="44"/>
    </row>
    <row r="132" spans="37:56" x14ac:dyDescent="0.3">
      <c r="AK132" s="44"/>
      <c r="AL132" s="44"/>
      <c r="AM132" s="44"/>
      <c r="AN132" s="44"/>
      <c r="AO132" s="44"/>
      <c r="AP132" s="44"/>
      <c r="AQ132" s="44"/>
      <c r="AX132" s="44"/>
      <c r="AY132" s="44"/>
      <c r="AZ132" s="44"/>
      <c r="BA132" s="44"/>
      <c r="BB132" s="44"/>
      <c r="BC132" s="44"/>
      <c r="BD132" s="44"/>
    </row>
    <row r="133" spans="37:56" x14ac:dyDescent="0.3">
      <c r="AK133" s="44"/>
      <c r="AL133" s="44"/>
      <c r="AM133" s="44"/>
      <c r="AN133" s="44"/>
      <c r="AO133" s="44"/>
      <c r="AP133" s="44"/>
      <c r="AQ133" s="44"/>
      <c r="AX133" s="44"/>
      <c r="AY133" s="44"/>
      <c r="AZ133" s="44"/>
      <c r="BA133" s="44"/>
      <c r="BB133" s="44"/>
      <c r="BC133" s="44"/>
      <c r="BD133" s="44"/>
    </row>
    <row r="134" spans="37:56" x14ac:dyDescent="0.3">
      <c r="AK134" s="44"/>
      <c r="AL134" s="44"/>
      <c r="AM134" s="44"/>
      <c r="AN134" s="44"/>
      <c r="AO134" s="44"/>
      <c r="AP134" s="44"/>
      <c r="AQ134" s="44"/>
      <c r="AX134" s="44"/>
      <c r="AY134" s="44"/>
      <c r="AZ134" s="44"/>
      <c r="BA134" s="44"/>
      <c r="BB134" s="44"/>
      <c r="BC134" s="44"/>
      <c r="BD134" s="44"/>
    </row>
    <row r="135" spans="37:56" x14ac:dyDescent="0.3">
      <c r="AK135" s="44"/>
      <c r="AL135" s="44"/>
      <c r="AM135" s="44"/>
      <c r="AN135" s="44"/>
      <c r="AO135" s="44"/>
      <c r="AP135" s="44"/>
      <c r="AQ135" s="44"/>
      <c r="AX135" s="44"/>
      <c r="AY135" s="44"/>
      <c r="AZ135" s="44"/>
      <c r="BA135" s="44"/>
      <c r="BB135" s="44"/>
      <c r="BC135" s="44"/>
      <c r="BD135" s="44"/>
    </row>
    <row r="136" spans="37:56" x14ac:dyDescent="0.3">
      <c r="AK136" s="44"/>
      <c r="AL136" s="44"/>
      <c r="AM136" s="44"/>
      <c r="AN136" s="44"/>
      <c r="AO136" s="44"/>
      <c r="AP136" s="44"/>
      <c r="AQ136" s="44"/>
      <c r="AY136" s="44"/>
      <c r="AZ136" s="44"/>
      <c r="BA136" s="44"/>
      <c r="BB136" s="44"/>
      <c r="BC136" s="44"/>
      <c r="BD136" s="44"/>
    </row>
    <row r="137" spans="37:56" x14ac:dyDescent="0.3">
      <c r="AK137" s="44"/>
      <c r="AL137" s="44"/>
      <c r="AM137" s="44"/>
      <c r="AN137" s="44"/>
      <c r="AO137" s="44"/>
      <c r="AP137" s="44"/>
      <c r="AQ137" s="44"/>
      <c r="AX137" s="44"/>
      <c r="AY137" s="44"/>
      <c r="AZ137" s="44"/>
      <c r="BA137" s="44"/>
      <c r="BB137" s="44"/>
      <c r="BC137" s="44"/>
      <c r="BD137" s="44"/>
    </row>
    <row r="138" spans="37:56" x14ac:dyDescent="0.3">
      <c r="AK138" s="44"/>
      <c r="AL138" s="44"/>
      <c r="AM138" s="44"/>
      <c r="AN138" s="44"/>
      <c r="AO138" s="44"/>
      <c r="AP138" s="44"/>
      <c r="AQ138" s="44"/>
      <c r="AY138" s="44"/>
      <c r="AZ138" s="44"/>
      <c r="BA138" s="44"/>
      <c r="BB138" s="44"/>
      <c r="BC138" s="44"/>
      <c r="BD138" s="44"/>
    </row>
    <row r="139" spans="37:56" x14ac:dyDescent="0.3">
      <c r="AK139" s="44"/>
      <c r="AL139" s="44"/>
      <c r="AM139" s="44"/>
      <c r="AN139" s="44"/>
      <c r="AO139" s="44"/>
      <c r="AP139" s="44"/>
      <c r="AQ139" s="44"/>
    </row>
    <row r="140" spans="37:56" x14ac:dyDescent="0.3">
      <c r="AK140" s="44"/>
      <c r="AL140" s="44"/>
      <c r="AM140" s="44"/>
      <c r="AN140" s="44"/>
      <c r="AO140" s="44"/>
      <c r="AP140" s="44"/>
      <c r="AQ140" s="44"/>
    </row>
    <row r="141" spans="37:56" x14ac:dyDescent="0.3">
      <c r="AK141" s="44"/>
      <c r="AL141" s="44"/>
      <c r="AM141" s="44"/>
      <c r="AN141" s="44"/>
      <c r="AO141" s="44"/>
      <c r="AP141" s="44"/>
      <c r="AQ141" s="44"/>
    </row>
    <row r="142" spans="37:56" x14ac:dyDescent="0.3">
      <c r="AK142" s="44"/>
      <c r="AL142" s="44"/>
      <c r="AM142" s="44"/>
      <c r="AN142" s="44"/>
      <c r="AO142" s="44"/>
      <c r="AP142" s="44"/>
      <c r="AQ142" s="44"/>
    </row>
    <row r="143" spans="37:56" x14ac:dyDescent="0.3">
      <c r="AK143" s="44"/>
      <c r="AL143" s="44"/>
      <c r="AM143" s="44"/>
      <c r="AN143" s="44"/>
      <c r="AO143" s="44"/>
      <c r="AP143" s="44"/>
      <c r="AQ143" s="44"/>
    </row>
    <row r="144" spans="37:56" x14ac:dyDescent="0.3">
      <c r="AK144" s="44"/>
      <c r="AL144" s="44"/>
      <c r="AM144" s="44"/>
      <c r="AN144" s="44"/>
      <c r="AO144" s="44"/>
      <c r="AP144" s="44"/>
      <c r="AQ144" s="44"/>
    </row>
    <row r="145" spans="28:56" x14ac:dyDescent="0.3">
      <c r="AK145" s="44"/>
      <c r="AL145" s="44"/>
      <c r="AM145" s="44"/>
      <c r="AN145" s="44"/>
      <c r="AO145" s="44"/>
      <c r="AP145" s="44"/>
      <c r="AQ145" s="44"/>
    </row>
    <row r="146" spans="28:56" x14ac:dyDescent="0.3">
      <c r="AK146" s="44"/>
      <c r="AL146" s="44"/>
      <c r="AM146" s="44"/>
      <c r="AN146" s="44"/>
      <c r="AO146" s="44"/>
      <c r="AP146" s="44"/>
      <c r="AQ146" s="44"/>
    </row>
    <row r="147" spans="28:56" x14ac:dyDescent="0.3">
      <c r="AK147" s="44"/>
      <c r="AL147" s="44"/>
      <c r="AM147" s="44"/>
      <c r="AN147" s="44"/>
      <c r="AO147" s="44"/>
      <c r="AP147" s="44"/>
      <c r="AQ147" s="44"/>
      <c r="AX147" s="44"/>
      <c r="AY147" s="44"/>
      <c r="AZ147" s="44"/>
      <c r="BA147" s="44"/>
      <c r="BB147" s="44"/>
      <c r="BC147" s="44"/>
      <c r="BD147" s="44"/>
    </row>
    <row r="148" spans="28:56" x14ac:dyDescent="0.3">
      <c r="AK148" s="44"/>
      <c r="AL148" s="44"/>
      <c r="AM148" s="44"/>
      <c r="AN148" s="44"/>
      <c r="AO148" s="44"/>
      <c r="AP148" s="44"/>
      <c r="AQ148" s="44"/>
      <c r="AX148" s="44"/>
      <c r="AY148" s="44"/>
      <c r="AZ148" s="44"/>
      <c r="BA148" s="44"/>
      <c r="BB148" s="44"/>
      <c r="BC148" s="44"/>
      <c r="BD148" s="44"/>
    </row>
    <row r="149" spans="28:56" x14ac:dyDescent="0.3">
      <c r="AK149" s="44"/>
      <c r="AL149" s="44"/>
      <c r="AM149" s="44"/>
      <c r="AN149" s="44"/>
      <c r="AO149" s="44"/>
      <c r="AP149" s="44"/>
      <c r="AQ149" s="44"/>
      <c r="AX149" s="44"/>
      <c r="AY149" s="44"/>
      <c r="AZ149" s="44"/>
      <c r="BA149" s="44"/>
      <c r="BB149" s="44"/>
      <c r="BC149" s="44"/>
      <c r="BD149" s="44"/>
    </row>
    <row r="150" spans="28:56" x14ac:dyDescent="0.3">
      <c r="AK150" s="44"/>
      <c r="AL150" s="44"/>
      <c r="AM150" s="44"/>
      <c r="AN150" s="44"/>
      <c r="AO150" s="44"/>
      <c r="AP150" s="44"/>
      <c r="AQ150" s="44"/>
      <c r="AX150" s="44"/>
      <c r="AY150" s="44"/>
      <c r="AZ150" s="44"/>
      <c r="BA150" s="44"/>
      <c r="BB150" s="44"/>
      <c r="BC150" s="44"/>
      <c r="BD150" s="44"/>
    </row>
    <row r="151" spans="28:56" x14ac:dyDescent="0.3">
      <c r="AK151" s="44"/>
      <c r="AL151" s="44"/>
      <c r="AM151" s="44"/>
      <c r="AN151" s="44"/>
      <c r="AO151" s="44"/>
      <c r="AP151" s="44"/>
      <c r="AQ151" s="44"/>
      <c r="AX151" s="44"/>
      <c r="AY151" s="44"/>
      <c r="AZ151" s="44"/>
      <c r="BA151" s="44"/>
      <c r="BB151" s="44"/>
      <c r="BC151" s="44"/>
      <c r="BD151" s="44"/>
    </row>
    <row r="153" spans="28:56" x14ac:dyDescent="0.3">
      <c r="AB153" s="44"/>
      <c r="AC153" s="44"/>
      <c r="AD153" s="44"/>
      <c r="AE153" s="44"/>
      <c r="AF153" s="44"/>
      <c r="AG153" s="44"/>
      <c r="AH153" s="44"/>
      <c r="AK153" s="44"/>
      <c r="AL153" s="44"/>
      <c r="AM153" s="44"/>
      <c r="AN153" s="44"/>
      <c r="AO153" s="44"/>
      <c r="AP153" s="44"/>
      <c r="AQ153" s="44"/>
      <c r="AX153" s="44"/>
      <c r="AY153" s="44"/>
      <c r="AZ153" s="44"/>
      <c r="BA153" s="44"/>
      <c r="BB153" s="44"/>
      <c r="BC153" s="44"/>
      <c r="BD153" s="44"/>
    </row>
    <row r="154" spans="28:56" x14ac:dyDescent="0.3">
      <c r="AB154" s="44"/>
      <c r="AC154" s="44"/>
      <c r="AD154" s="44"/>
      <c r="AE154" s="44"/>
      <c r="AF154" s="44"/>
      <c r="AG154" s="44"/>
      <c r="AH154" s="44"/>
    </row>
    <row r="155" spans="28:56" x14ac:dyDescent="0.3">
      <c r="AB155" s="44"/>
      <c r="AC155" s="44"/>
      <c r="AD155" s="44"/>
      <c r="AE155" s="44"/>
      <c r="AF155" s="44"/>
      <c r="AG155" s="44"/>
      <c r="AH155" s="44"/>
    </row>
    <row r="156" spans="28:56" x14ac:dyDescent="0.3">
      <c r="AB156" s="44"/>
      <c r="AC156" s="44"/>
      <c r="AD156" s="44"/>
      <c r="AE156" s="44"/>
      <c r="AF156" s="44"/>
      <c r="AG156" s="44"/>
      <c r="AH156" s="44"/>
    </row>
    <row r="190" spans="2:56" x14ac:dyDescent="0.3">
      <c r="AK190" s="44"/>
      <c r="AL190" s="44"/>
      <c r="AM190" s="44"/>
      <c r="AN190" s="44"/>
      <c r="AO190" s="44"/>
      <c r="AP190" s="44"/>
      <c r="AQ190" s="44"/>
      <c r="AR190" s="44"/>
      <c r="AX190" s="44"/>
      <c r="AY190" s="44"/>
      <c r="AZ190" s="44"/>
      <c r="BA190" s="44"/>
      <c r="BB190" s="44"/>
      <c r="BC190" s="44"/>
      <c r="BD190" s="44"/>
    </row>
    <row r="191" spans="2:56" x14ac:dyDescent="0.3">
      <c r="AK191" s="44"/>
      <c r="AL191" s="44"/>
      <c r="AM191" s="44"/>
      <c r="AN191" s="44"/>
      <c r="AO191" s="44"/>
      <c r="AP191" s="44"/>
      <c r="AQ191" s="44"/>
      <c r="AR191" s="44"/>
      <c r="AX191" s="44"/>
      <c r="AY191" s="44"/>
      <c r="AZ191" s="44"/>
      <c r="BA191" s="44"/>
      <c r="BB191" s="44"/>
      <c r="BC191" s="44"/>
      <c r="BD191" s="44"/>
    </row>
    <row r="192" spans="2:56" x14ac:dyDescent="0.3"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K192" s="44"/>
      <c r="AL192" s="44"/>
      <c r="AM192" s="44"/>
      <c r="AN192" s="44"/>
      <c r="AO192" s="44"/>
      <c r="AP192" s="44"/>
      <c r="AQ192" s="44"/>
      <c r="AR192" s="44"/>
    </row>
    <row r="193" spans="37:56" x14ac:dyDescent="0.3">
      <c r="AK193" s="44"/>
      <c r="AL193" s="44"/>
      <c r="AM193" s="44"/>
      <c r="AN193" s="44"/>
      <c r="AO193" s="44"/>
      <c r="AP193" s="44"/>
      <c r="AQ193" s="44"/>
      <c r="AR193" s="44"/>
      <c r="AX193" s="44"/>
      <c r="AY193" s="44"/>
      <c r="AZ193" s="44"/>
      <c r="BA193" s="44"/>
      <c r="BB193" s="44"/>
      <c r="BC193" s="44"/>
      <c r="BD193" s="44"/>
    </row>
    <row r="194" spans="37:56" x14ac:dyDescent="0.3">
      <c r="AK194" s="44"/>
      <c r="AL194" s="44"/>
      <c r="AM194" s="44"/>
      <c r="AN194" s="44"/>
      <c r="AO194" s="44"/>
      <c r="AP194" s="44"/>
      <c r="AQ194" s="44"/>
      <c r="AR194" s="44"/>
      <c r="AX194" s="44"/>
      <c r="AY194" s="44"/>
      <c r="AZ194" s="44"/>
      <c r="BA194" s="44"/>
      <c r="BB194" s="44"/>
      <c r="BC194" s="44"/>
      <c r="BD194" s="44"/>
    </row>
    <row r="195" spans="37:56" x14ac:dyDescent="0.3">
      <c r="AK195" s="44"/>
      <c r="AL195" s="44"/>
      <c r="AM195" s="44"/>
      <c r="AN195" s="44"/>
      <c r="AO195" s="44"/>
      <c r="AP195" s="44"/>
      <c r="AQ195" s="44"/>
      <c r="AR195" s="44"/>
      <c r="AX195" s="44"/>
      <c r="AY195" s="44"/>
      <c r="AZ195" s="44"/>
      <c r="BA195" s="44"/>
      <c r="BB195" s="44"/>
      <c r="BC195" s="44"/>
      <c r="BD195" s="44"/>
    </row>
    <row r="196" spans="37:56" x14ac:dyDescent="0.3">
      <c r="AK196" s="44"/>
      <c r="AL196" s="44"/>
      <c r="AM196" s="44"/>
      <c r="AN196" s="44"/>
      <c r="AO196" s="44"/>
      <c r="AP196" s="44"/>
      <c r="AQ196" s="44"/>
      <c r="AR196" s="44"/>
      <c r="AX196" s="44"/>
      <c r="AY196" s="44"/>
      <c r="AZ196" s="44"/>
      <c r="BA196" s="44"/>
      <c r="BB196" s="44"/>
      <c r="BC196" s="44"/>
      <c r="BD196" s="44"/>
    </row>
    <row r="197" spans="37:56" x14ac:dyDescent="0.3">
      <c r="AK197" s="44"/>
      <c r="AL197" s="44"/>
      <c r="AM197" s="44"/>
      <c r="AN197" s="44"/>
      <c r="AO197" s="44"/>
      <c r="AP197" s="44"/>
      <c r="AQ197" s="44"/>
      <c r="AR197" s="44"/>
      <c r="AX197" s="44"/>
      <c r="AY197" s="44"/>
      <c r="AZ197" s="44"/>
      <c r="BA197" s="44"/>
      <c r="BB197" s="44"/>
      <c r="BC197" s="44"/>
      <c r="BD197" s="44"/>
    </row>
    <row r="198" spans="37:56" x14ac:dyDescent="0.3">
      <c r="AK198" s="44"/>
      <c r="AL198" s="44"/>
      <c r="AM198" s="44"/>
      <c r="AN198" s="44"/>
      <c r="AO198" s="44"/>
      <c r="AP198" s="44"/>
      <c r="AQ198" s="44"/>
      <c r="AR198" s="44"/>
      <c r="AX198" s="44"/>
      <c r="AY198" s="44"/>
      <c r="AZ198" s="44"/>
      <c r="BA198" s="44"/>
      <c r="BB198" s="44"/>
      <c r="BC198" s="44"/>
      <c r="BD198" s="44"/>
    </row>
    <row r="199" spans="37:56" x14ac:dyDescent="0.3">
      <c r="AK199" s="44"/>
      <c r="AL199" s="44"/>
      <c r="AM199" s="44"/>
      <c r="AN199" s="44"/>
      <c r="AO199" s="44"/>
      <c r="AP199" s="44"/>
      <c r="AQ199" s="44"/>
      <c r="AR199" s="44"/>
    </row>
    <row r="200" spans="37:56" x14ac:dyDescent="0.3">
      <c r="AK200" s="44"/>
      <c r="AL200" s="44"/>
      <c r="AM200" s="44"/>
      <c r="AN200" s="44"/>
      <c r="AO200" s="44"/>
      <c r="AP200" s="44"/>
      <c r="AQ200" s="44"/>
      <c r="AR200" s="44"/>
      <c r="AX200" s="44"/>
      <c r="AY200" s="44"/>
      <c r="AZ200" s="44"/>
      <c r="BA200" s="44"/>
      <c r="BB200" s="44"/>
      <c r="BC200" s="44"/>
      <c r="BD200" s="44"/>
    </row>
    <row r="201" spans="37:56" x14ac:dyDescent="0.3">
      <c r="AK201" s="44"/>
      <c r="AL201" s="44"/>
      <c r="AM201" s="44"/>
      <c r="AN201" s="44"/>
      <c r="AO201" s="44"/>
      <c r="AP201" s="44"/>
      <c r="AQ201" s="44"/>
      <c r="AR201" s="44"/>
    </row>
    <row r="202" spans="37:56" x14ac:dyDescent="0.3">
      <c r="AK202" s="44"/>
      <c r="AL202" s="44"/>
      <c r="AM202" s="44"/>
      <c r="AN202" s="44"/>
      <c r="AO202" s="44"/>
      <c r="AP202" s="44"/>
      <c r="AQ202" s="44"/>
      <c r="AR202" s="44"/>
    </row>
    <row r="203" spans="37:56" x14ac:dyDescent="0.3">
      <c r="AK203" s="44"/>
      <c r="AL203" s="44"/>
      <c r="AM203" s="44"/>
      <c r="AN203" s="44"/>
      <c r="AO203" s="44"/>
      <c r="AP203" s="44"/>
      <c r="AQ203" s="44"/>
      <c r="AR203" s="44"/>
    </row>
    <row r="204" spans="37:56" x14ac:dyDescent="0.3">
      <c r="AK204" s="44"/>
      <c r="AL204" s="44"/>
      <c r="AM204" s="44"/>
      <c r="AN204" s="44"/>
      <c r="AO204" s="44"/>
      <c r="AP204" s="44"/>
      <c r="AQ204" s="44"/>
      <c r="AR204" s="44"/>
    </row>
    <row r="205" spans="37:56" x14ac:dyDescent="0.3">
      <c r="AK205" s="44"/>
      <c r="AL205" s="44"/>
      <c r="AM205" s="44"/>
      <c r="AN205" s="44"/>
      <c r="AO205" s="44"/>
      <c r="AP205" s="44"/>
      <c r="AQ205" s="44"/>
      <c r="AR205" s="44"/>
    </row>
    <row r="206" spans="37:56" x14ac:dyDescent="0.3">
      <c r="AK206" s="44"/>
      <c r="AL206" s="44"/>
      <c r="AM206" s="44"/>
      <c r="AN206" s="44"/>
      <c r="AO206" s="44"/>
      <c r="AP206" s="44"/>
      <c r="AQ206" s="44"/>
      <c r="AR206" s="44"/>
    </row>
    <row r="207" spans="37:56" x14ac:dyDescent="0.3">
      <c r="AK207" s="44"/>
      <c r="AL207" s="44"/>
      <c r="AM207" s="44"/>
      <c r="AN207" s="44"/>
      <c r="AO207" s="44"/>
      <c r="AP207" s="44"/>
      <c r="AQ207" s="44"/>
      <c r="AR207" s="44"/>
    </row>
    <row r="208" spans="37:56" x14ac:dyDescent="0.3">
      <c r="AK208" s="44"/>
      <c r="AL208" s="44"/>
      <c r="AM208" s="44"/>
      <c r="AN208" s="44"/>
      <c r="AO208" s="44"/>
      <c r="AP208" s="44"/>
      <c r="AQ208" s="44"/>
      <c r="AR208" s="44"/>
    </row>
    <row r="209" spans="1:56" x14ac:dyDescent="0.3">
      <c r="AK209" s="44"/>
      <c r="AL209" s="44"/>
      <c r="AM209" s="44"/>
      <c r="AN209" s="44"/>
      <c r="AO209" s="44"/>
      <c r="AP209" s="44"/>
      <c r="AQ209" s="44"/>
      <c r="AR209" s="44"/>
    </row>
    <row r="210" spans="1:56" x14ac:dyDescent="0.3">
      <c r="AK210" s="44"/>
      <c r="AL210" s="44"/>
      <c r="AM210" s="44"/>
      <c r="AN210" s="44"/>
      <c r="AO210" s="44"/>
      <c r="AP210" s="44"/>
      <c r="AQ210" s="44"/>
      <c r="AR210" s="44"/>
      <c r="AX210" s="44"/>
      <c r="AY210" s="44"/>
      <c r="AZ210" s="44"/>
      <c r="BA210" s="44"/>
      <c r="BB210" s="44"/>
      <c r="BC210" s="44"/>
      <c r="BD210" s="44"/>
    </row>
    <row r="211" spans="1:56" x14ac:dyDescent="0.3">
      <c r="AK211" s="44"/>
      <c r="AL211" s="44"/>
      <c r="AM211" s="44"/>
      <c r="AN211" s="44"/>
      <c r="AO211" s="44"/>
      <c r="AP211" s="44"/>
      <c r="AQ211" s="44"/>
      <c r="AR211" s="44"/>
      <c r="AX211" s="44"/>
      <c r="AY211" s="44"/>
      <c r="AZ211" s="44"/>
      <c r="BA211" s="44"/>
      <c r="BB211" s="44"/>
      <c r="BC211" s="44"/>
      <c r="BD211" s="44"/>
    </row>
    <row r="212" spans="1:56" x14ac:dyDescent="0.3">
      <c r="AK212" s="44"/>
      <c r="AL212" s="44"/>
      <c r="AM212" s="44"/>
      <c r="AN212" s="44"/>
      <c r="AO212" s="44"/>
      <c r="AP212" s="44"/>
      <c r="AQ212" s="44"/>
      <c r="AR212" s="44"/>
      <c r="AX212" s="44"/>
      <c r="AY212" s="44"/>
      <c r="AZ212" s="44"/>
      <c r="BA212" s="44"/>
      <c r="BB212" s="44"/>
      <c r="BC212" s="44"/>
      <c r="BD212" s="44"/>
    </row>
    <row r="213" spans="1:56" x14ac:dyDescent="0.3">
      <c r="AK213" s="44"/>
      <c r="AL213" s="44"/>
      <c r="AM213" s="44"/>
      <c r="AN213" s="44"/>
      <c r="AO213" s="44"/>
      <c r="AP213" s="44"/>
      <c r="AQ213" s="44"/>
      <c r="AR213" s="44"/>
      <c r="AX213" s="44"/>
      <c r="AY213" s="44"/>
      <c r="AZ213" s="44"/>
      <c r="BA213" s="44"/>
      <c r="BB213" s="44"/>
      <c r="BC213" s="44"/>
      <c r="BD213" s="44"/>
    </row>
    <row r="214" spans="1:56" x14ac:dyDescent="0.3">
      <c r="AK214" s="44"/>
      <c r="AL214" s="44"/>
      <c r="AM214" s="44"/>
      <c r="AN214" s="44"/>
      <c r="AO214" s="44"/>
      <c r="AP214" s="44"/>
      <c r="AQ214" s="44"/>
      <c r="AR214" s="44"/>
      <c r="AX214" s="44"/>
      <c r="AY214" s="44"/>
      <c r="AZ214" s="44"/>
      <c r="BA214" s="44"/>
      <c r="BB214" s="44"/>
      <c r="BC214" s="44"/>
      <c r="BD214" s="44"/>
    </row>
    <row r="216" spans="1:56" x14ac:dyDescent="0.3">
      <c r="AB216" s="44"/>
      <c r="AC216" s="44"/>
      <c r="AD216" s="44"/>
      <c r="AE216" s="44"/>
      <c r="AF216" s="44"/>
      <c r="AG216" s="44"/>
      <c r="AH216" s="44"/>
      <c r="AK216" s="44"/>
      <c r="AL216" s="44"/>
      <c r="AM216" s="44"/>
      <c r="AN216" s="44"/>
      <c r="AO216" s="44"/>
      <c r="AP216" s="44"/>
      <c r="AQ216" s="44"/>
      <c r="AX216" s="44"/>
      <c r="AY216" s="44"/>
      <c r="AZ216" s="44"/>
      <c r="BA216" s="44"/>
      <c r="BB216" s="44"/>
      <c r="BC216" s="44"/>
      <c r="BD216" s="44"/>
    </row>
    <row r="217" spans="1:56" x14ac:dyDescent="0.3">
      <c r="AB217" s="44"/>
      <c r="AC217" s="44"/>
      <c r="AD217" s="44"/>
      <c r="AE217" s="44"/>
      <c r="AF217" s="44"/>
      <c r="AG217" s="44"/>
      <c r="AH217" s="44"/>
      <c r="AK217" s="44"/>
    </row>
    <row r="218" spans="1:56" x14ac:dyDescent="0.3">
      <c r="AB218" s="44"/>
      <c r="AC218" s="44"/>
      <c r="AD218" s="44"/>
      <c r="AE218" s="44"/>
      <c r="AF218" s="44"/>
      <c r="AG218" s="44"/>
      <c r="AH218" s="44"/>
    </row>
    <row r="219" spans="1:56" x14ac:dyDescent="0.3">
      <c r="AB219" s="44"/>
      <c r="AC219" s="44"/>
      <c r="AD219" s="44"/>
      <c r="AE219" s="44"/>
      <c r="AF219" s="44"/>
      <c r="AG219" s="44"/>
      <c r="AH219" s="44"/>
    </row>
    <row r="220" spans="1:56" x14ac:dyDescent="0.3">
      <c r="A220" s="45"/>
      <c r="Z220" s="46"/>
    </row>
    <row r="221" spans="1:56" x14ac:dyDescent="0.3">
      <c r="A221" s="45"/>
      <c r="Z221" s="46"/>
    </row>
    <row r="222" spans="1:56" x14ac:dyDescent="0.3">
      <c r="A222" s="45"/>
      <c r="Z222" s="46"/>
    </row>
    <row r="223" spans="1:56" x14ac:dyDescent="0.3">
      <c r="A223" s="45"/>
      <c r="Z223" s="46"/>
    </row>
    <row r="224" spans="1:56" x14ac:dyDescent="0.3">
      <c r="A224" s="45"/>
    </row>
    <row r="225" spans="1:26" x14ac:dyDescent="0.3">
      <c r="A225" s="45"/>
      <c r="Z225" s="46"/>
    </row>
    <row r="226" spans="1:26" x14ac:dyDescent="0.3">
      <c r="A226" s="45"/>
      <c r="Z226" s="46"/>
    </row>
    <row r="227" spans="1:26" x14ac:dyDescent="0.3">
      <c r="A227" s="45"/>
      <c r="Z227" s="46"/>
    </row>
    <row r="228" spans="1:26" x14ac:dyDescent="0.3">
      <c r="A228" s="45"/>
      <c r="Z228" s="46"/>
    </row>
    <row r="284" spans="2:34" x14ac:dyDescent="0.3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B284" s="44"/>
      <c r="AC284" s="44"/>
      <c r="AD284" s="44"/>
      <c r="AE284" s="44"/>
      <c r="AF284" s="44"/>
      <c r="AG284" s="44"/>
      <c r="AH284" s="44"/>
    </row>
    <row r="325" spans="22:25" ht="15" thickBot="1" x14ac:dyDescent="0.35"/>
    <row r="326" spans="22:25" x14ac:dyDescent="0.3">
      <c r="V326" s="47"/>
      <c r="W326" s="48"/>
      <c r="X326" s="49"/>
      <c r="Y326" s="49"/>
    </row>
    <row r="327" spans="22:25" x14ac:dyDescent="0.3">
      <c r="V327" s="50"/>
      <c r="W327" s="51"/>
      <c r="X327" s="52"/>
      <c r="Y327" s="52"/>
    </row>
    <row r="328" spans="22:25" x14ac:dyDescent="0.3">
      <c r="V328" s="50"/>
      <c r="W328" s="51"/>
      <c r="X328" s="52"/>
      <c r="Y328" s="52"/>
    </row>
  </sheetData>
  <mergeCells count="10">
    <mergeCell ref="B76:B77"/>
    <mergeCell ref="B69:B72"/>
    <mergeCell ref="D56:D61"/>
    <mergeCell ref="A32:A34"/>
    <mergeCell ref="C32:C34"/>
    <mergeCell ref="B38:B42"/>
    <mergeCell ref="A56:A57"/>
    <mergeCell ref="A58:A59"/>
    <mergeCell ref="A60:A61"/>
    <mergeCell ref="C56:C6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workbookViewId="0">
      <selection activeCell="D8" sqref="D8"/>
    </sheetView>
  </sheetViews>
  <sheetFormatPr baseColWidth="10" defaultRowHeight="14.4" x14ac:dyDescent="0.3"/>
  <cols>
    <col min="1" max="1" width="18.44140625" bestFit="1" customWidth="1"/>
    <col min="3" max="3" width="20.5546875" customWidth="1"/>
    <col min="4" max="4" width="14.77734375" customWidth="1"/>
  </cols>
  <sheetData>
    <row r="1" spans="1:28" s="93" customFormat="1" ht="25.8" x14ac:dyDescent="0.5">
      <c r="A1" s="93" t="s">
        <v>150</v>
      </c>
    </row>
    <row r="2" spans="1:28" ht="15" thickBot="1" x14ac:dyDescent="0.35">
      <c r="A2" s="1" t="s">
        <v>11</v>
      </c>
    </row>
    <row r="3" spans="1:28" ht="15" thickBot="1" x14ac:dyDescent="0.35">
      <c r="B3" s="107" t="s">
        <v>2</v>
      </c>
      <c r="C3" s="108" t="s">
        <v>3</v>
      </c>
      <c r="D3" s="108">
        <v>1</v>
      </c>
      <c r="E3" s="108">
        <v>2</v>
      </c>
      <c r="F3" s="108">
        <v>3</v>
      </c>
      <c r="G3" s="108">
        <v>4</v>
      </c>
      <c r="H3" s="108">
        <v>5</v>
      </c>
      <c r="I3" s="108">
        <v>6</v>
      </c>
      <c r="J3" s="108">
        <v>7</v>
      </c>
      <c r="K3" s="108">
        <v>8</v>
      </c>
      <c r="L3" s="108">
        <v>9</v>
      </c>
      <c r="M3" s="108">
        <v>10</v>
      </c>
      <c r="N3" s="108">
        <v>11</v>
      </c>
      <c r="O3" s="108">
        <v>12</v>
      </c>
      <c r="P3" s="108">
        <v>13</v>
      </c>
      <c r="Q3" s="108">
        <v>14</v>
      </c>
      <c r="R3" s="108">
        <v>15</v>
      </c>
      <c r="S3" s="108">
        <v>16</v>
      </c>
      <c r="T3" s="108">
        <v>17</v>
      </c>
      <c r="U3" s="108">
        <v>18</v>
      </c>
      <c r="V3" s="108">
        <v>19</v>
      </c>
      <c r="W3" s="108">
        <v>20</v>
      </c>
      <c r="X3" s="108">
        <v>21</v>
      </c>
      <c r="Y3" s="108">
        <v>22</v>
      </c>
      <c r="Z3" s="108">
        <v>23</v>
      </c>
      <c r="AA3" s="108">
        <v>24</v>
      </c>
      <c r="AB3" s="109">
        <v>25</v>
      </c>
    </row>
    <row r="4" spans="1:28" ht="15" thickBot="1" x14ac:dyDescent="0.35">
      <c r="A4" s="84" t="s">
        <v>158</v>
      </c>
      <c r="B4" s="117" t="s">
        <v>160</v>
      </c>
      <c r="C4" s="96" t="s">
        <v>125</v>
      </c>
      <c r="D4" s="96">
        <v>1.306478199678786E-2</v>
      </c>
      <c r="E4" s="96">
        <v>1.1416903026815951E-2</v>
      </c>
      <c r="F4" s="96">
        <v>1.8946935365995708E-3</v>
      </c>
      <c r="G4" s="96">
        <v>9.3660564108434697E-3</v>
      </c>
      <c r="H4" s="96">
        <v>1.1533393285307317E-2</v>
      </c>
      <c r="I4" s="96">
        <v>0</v>
      </c>
      <c r="J4" s="96">
        <v>1.2543135431572823E-2</v>
      </c>
      <c r="K4" s="96">
        <v>1.2269620156834474E-3</v>
      </c>
      <c r="L4" s="96">
        <v>5.475028174928326E-3</v>
      </c>
      <c r="M4" s="96">
        <v>5.3218815152273292E-3</v>
      </c>
      <c r="N4" s="96">
        <v>6.9787716839368333E-3</v>
      </c>
      <c r="O4" s="96">
        <v>3.5375444182892055E-3</v>
      </c>
      <c r="P4" s="96">
        <v>3.1840159056959923E-3</v>
      </c>
      <c r="Q4" s="96">
        <v>3.0609109005756661E-3</v>
      </c>
      <c r="R4" s="96">
        <v>3.8602491334573065E-3</v>
      </c>
      <c r="S4" s="96">
        <v>5.6157766991836496E-3</v>
      </c>
      <c r="T4" s="96">
        <v>1.4814422228932672E-2</v>
      </c>
      <c r="U4" s="96">
        <v>5.6984792557775322E-3</v>
      </c>
      <c r="V4" s="96">
        <v>0.27358790236929209</v>
      </c>
      <c r="W4" s="96">
        <v>1.7056454530911232E-4</v>
      </c>
      <c r="X4" s="96">
        <v>8.8444139778660197E-3</v>
      </c>
      <c r="Y4" s="96">
        <v>3.1854540508933778E-2</v>
      </c>
      <c r="Z4" s="96">
        <v>2.1968385153891188E-2</v>
      </c>
      <c r="AA4" s="96">
        <v>1.0099212908989002E-2</v>
      </c>
      <c r="AB4" s="96">
        <v>9.7807559530179496E-3</v>
      </c>
    </row>
    <row r="5" spans="1:28" ht="15" thickBot="1" x14ac:dyDescent="0.35">
      <c r="A5" s="84" t="s">
        <v>159</v>
      </c>
      <c r="B5" s="117" t="s">
        <v>161</v>
      </c>
      <c r="C5" s="96" t="s">
        <v>125</v>
      </c>
      <c r="D5" s="96">
        <v>1.6330977495984826E-2</v>
      </c>
      <c r="E5" s="96">
        <v>1.4271128783519939E-2</v>
      </c>
      <c r="F5" s="96">
        <v>2.3683669207494634E-3</v>
      </c>
      <c r="G5" s="96">
        <v>1.1707570513554337E-2</v>
      </c>
      <c r="H5" s="96">
        <v>1.4416741606634144E-2</v>
      </c>
      <c r="I5" s="96">
        <v>0</v>
      </c>
      <c r="J5" s="96">
        <v>1.5678919289466027E-2</v>
      </c>
      <c r="K5" s="96">
        <v>1.5337025196043091E-3</v>
      </c>
      <c r="L5" s="96">
        <v>6.8437852186604064E-3</v>
      </c>
      <c r="M5" s="96">
        <v>6.6523518940341609E-3</v>
      </c>
      <c r="N5" s="96">
        <v>8.7234646049210406E-3</v>
      </c>
      <c r="O5" s="96">
        <v>4.4219305228615068E-3</v>
      </c>
      <c r="P5" s="96">
        <v>3.9800198821199903E-3</v>
      </c>
      <c r="Q5" s="96">
        <v>3.8261386257195831E-3</v>
      </c>
      <c r="R5" s="96">
        <v>4.8253114168216333E-3</v>
      </c>
      <c r="S5" s="96">
        <v>7.0197208739795625E-3</v>
      </c>
      <c r="T5" s="96">
        <v>1.851802778616584E-2</v>
      </c>
      <c r="U5" s="96">
        <v>7.1230990697219139E-3</v>
      </c>
      <c r="V5" s="96">
        <v>0.34198487796161509</v>
      </c>
      <c r="W5" s="96">
        <v>2.132056816363904E-4</v>
      </c>
      <c r="X5" s="96">
        <v>1.1055517472332523E-2</v>
      </c>
      <c r="Y5" s="96">
        <v>3.981817563616722E-2</v>
      </c>
      <c r="Z5" s="96">
        <v>2.7460481442363984E-2</v>
      </c>
      <c r="AA5" s="96">
        <v>1.2624016136236252E-2</v>
      </c>
      <c r="AB5" s="96">
        <v>1.2225944941272437E-2</v>
      </c>
    </row>
    <row r="7" spans="1:28" ht="15" thickBot="1" x14ac:dyDescent="0.35">
      <c r="A7" s="1" t="s">
        <v>46</v>
      </c>
    </row>
    <row r="8" spans="1:28" ht="15" thickBot="1" x14ac:dyDescent="0.35">
      <c r="B8" s="54" t="s">
        <v>3</v>
      </c>
      <c r="C8" s="54" t="s">
        <v>43</v>
      </c>
    </row>
    <row r="9" spans="1:28" ht="28.8" x14ac:dyDescent="0.3">
      <c r="A9" s="18" t="s">
        <v>47</v>
      </c>
      <c r="B9" s="60" t="s">
        <v>126</v>
      </c>
      <c r="C9" s="60">
        <f>C10*C11*C12</f>
        <v>2080</v>
      </c>
    </row>
    <row r="10" spans="1:28" x14ac:dyDescent="0.3">
      <c r="A10" s="9" t="s">
        <v>48</v>
      </c>
      <c r="B10" s="61" t="s">
        <v>127</v>
      </c>
      <c r="C10" s="61">
        <v>8</v>
      </c>
    </row>
    <row r="11" spans="1:28" x14ac:dyDescent="0.3">
      <c r="A11" s="9" t="s">
        <v>49</v>
      </c>
      <c r="B11" s="61" t="s">
        <v>128</v>
      </c>
      <c r="C11" s="61">
        <v>5</v>
      </c>
    </row>
    <row r="12" spans="1:28" ht="15" thickBot="1" x14ac:dyDescent="0.35">
      <c r="A12" s="13" t="s">
        <v>50</v>
      </c>
      <c r="B12" s="62" t="s">
        <v>129</v>
      </c>
      <c r="C12" s="62">
        <v>52</v>
      </c>
    </row>
    <row r="14" spans="1:28" ht="15" thickBot="1" x14ac:dyDescent="0.35">
      <c r="A14" s="1" t="s">
        <v>51</v>
      </c>
    </row>
    <row r="15" spans="1:28" ht="15" thickBot="1" x14ac:dyDescent="0.35">
      <c r="B15" s="24" t="s">
        <v>3</v>
      </c>
      <c r="C15" s="54" t="s">
        <v>43</v>
      </c>
    </row>
    <row r="16" spans="1:28" ht="29.4" thickBot="1" x14ac:dyDescent="0.35">
      <c r="A16" s="59" t="s">
        <v>52</v>
      </c>
      <c r="B16" s="25" t="s">
        <v>13</v>
      </c>
      <c r="C16" s="87">
        <v>0.9</v>
      </c>
    </row>
    <row r="19" spans="1:28" ht="15" thickBot="1" x14ac:dyDescent="0.35">
      <c r="A19" s="1" t="s">
        <v>70</v>
      </c>
    </row>
    <row r="20" spans="1:28" ht="15" thickBot="1" x14ac:dyDescent="0.35">
      <c r="A20" s="67"/>
      <c r="B20" s="107" t="s">
        <v>2</v>
      </c>
      <c r="C20" s="108" t="s">
        <v>3</v>
      </c>
      <c r="D20" s="108">
        <v>1</v>
      </c>
      <c r="E20" s="108">
        <v>2</v>
      </c>
      <c r="F20" s="108">
        <v>3</v>
      </c>
      <c r="G20" s="108">
        <v>4</v>
      </c>
      <c r="H20" s="108">
        <v>5</v>
      </c>
      <c r="I20" s="108">
        <v>6</v>
      </c>
      <c r="J20" s="108">
        <v>7</v>
      </c>
      <c r="K20" s="108">
        <v>8</v>
      </c>
      <c r="L20" s="108">
        <v>9</v>
      </c>
      <c r="M20" s="108">
        <v>10</v>
      </c>
      <c r="N20" s="108">
        <v>11</v>
      </c>
      <c r="O20" s="108">
        <v>12</v>
      </c>
      <c r="P20" s="108">
        <v>13</v>
      </c>
      <c r="Q20" s="108">
        <v>14</v>
      </c>
      <c r="R20" s="108">
        <v>15</v>
      </c>
      <c r="S20" s="108">
        <v>16</v>
      </c>
      <c r="T20" s="108">
        <v>17</v>
      </c>
      <c r="U20" s="108">
        <v>18</v>
      </c>
      <c r="V20" s="108">
        <v>19</v>
      </c>
      <c r="W20" s="108">
        <v>20</v>
      </c>
      <c r="X20" s="108">
        <v>21</v>
      </c>
      <c r="Y20" s="108">
        <v>22</v>
      </c>
      <c r="Z20" s="108">
        <v>23</v>
      </c>
      <c r="AA20" s="108">
        <v>24</v>
      </c>
      <c r="AB20" s="109">
        <v>25</v>
      </c>
    </row>
    <row r="21" spans="1:28" ht="58.2" thickBot="1" x14ac:dyDescent="0.35">
      <c r="A21" s="2" t="s">
        <v>71</v>
      </c>
      <c r="B21" s="97" t="s">
        <v>130</v>
      </c>
      <c r="C21" s="96" t="s">
        <v>13</v>
      </c>
      <c r="D21" s="74">
        <v>0.25</v>
      </c>
      <c r="E21" s="73">
        <v>0.18</v>
      </c>
      <c r="F21" s="73">
        <v>0.18</v>
      </c>
      <c r="G21" s="73">
        <v>0.25</v>
      </c>
      <c r="H21" s="73">
        <v>0.25</v>
      </c>
      <c r="I21" s="73">
        <v>0.18</v>
      </c>
      <c r="J21" s="73">
        <v>0.18</v>
      </c>
      <c r="K21" s="73">
        <v>0.18</v>
      </c>
      <c r="L21" s="73">
        <v>0.18</v>
      </c>
      <c r="M21" s="73">
        <v>0.18</v>
      </c>
      <c r="N21" s="73">
        <v>0.18</v>
      </c>
      <c r="O21" s="73">
        <v>0.18</v>
      </c>
      <c r="P21" s="73">
        <v>0.18</v>
      </c>
      <c r="Q21" s="73">
        <v>0.18</v>
      </c>
      <c r="R21" s="73">
        <v>0.18</v>
      </c>
      <c r="S21" s="73">
        <v>0.18</v>
      </c>
      <c r="T21" s="73">
        <v>0.18</v>
      </c>
      <c r="U21" s="73">
        <v>0.18</v>
      </c>
      <c r="V21" s="73">
        <v>0.18</v>
      </c>
      <c r="W21" s="73">
        <v>0.18</v>
      </c>
      <c r="X21" s="73">
        <v>0.18</v>
      </c>
      <c r="Y21" s="73">
        <v>0.18</v>
      </c>
      <c r="Z21" s="73">
        <v>0.18</v>
      </c>
      <c r="AA21" s="73">
        <v>0.18</v>
      </c>
      <c r="AB21" s="75">
        <v>0.18</v>
      </c>
    </row>
    <row r="22" spans="1:28" x14ac:dyDescent="0.3">
      <c r="A22" s="1"/>
    </row>
    <row r="23" spans="1:28" ht="15" thickBot="1" x14ac:dyDescent="0.35">
      <c r="A23" s="1" t="s">
        <v>72</v>
      </c>
    </row>
    <row r="24" spans="1:28" ht="15" thickBot="1" x14ac:dyDescent="0.35">
      <c r="A24" s="67"/>
      <c r="B24" s="17" t="s">
        <v>2</v>
      </c>
      <c r="C24" s="24" t="s">
        <v>3</v>
      </c>
      <c r="D24" s="80" t="s">
        <v>76</v>
      </c>
      <c r="J24" t="s">
        <v>73</v>
      </c>
    </row>
    <row r="25" spans="1:28" x14ac:dyDescent="0.3">
      <c r="A25" s="18" t="s">
        <v>74</v>
      </c>
      <c r="B25" s="142" t="s">
        <v>132</v>
      </c>
      <c r="C25" s="126" t="s">
        <v>13</v>
      </c>
      <c r="D25" s="77">
        <v>0.24520548</v>
      </c>
    </row>
    <row r="26" spans="1:28" ht="28.8" x14ac:dyDescent="0.3">
      <c r="A26" s="9" t="s">
        <v>131</v>
      </c>
      <c r="B26" s="131"/>
      <c r="C26" s="127"/>
      <c r="D26" s="78">
        <v>0.5</v>
      </c>
    </row>
    <row r="27" spans="1:28" ht="29.4" thickBot="1" x14ac:dyDescent="0.35">
      <c r="A27" s="13" t="s">
        <v>75</v>
      </c>
      <c r="B27" s="132"/>
      <c r="C27" s="128"/>
      <c r="D27" s="79">
        <v>0.49041096000000001</v>
      </c>
    </row>
  </sheetData>
  <mergeCells count="2">
    <mergeCell ref="B25:B27"/>
    <mergeCell ref="C25:C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opLeftCell="A7" workbookViewId="0">
      <selection activeCell="F10" sqref="F10"/>
    </sheetView>
  </sheetViews>
  <sheetFormatPr baseColWidth="10" defaultRowHeight="14.4" x14ac:dyDescent="0.3"/>
  <cols>
    <col min="1" max="1" width="57.21875" customWidth="1"/>
    <col min="2" max="2" width="25.109375" bestFit="1" customWidth="1"/>
    <col min="3" max="3" width="23.6640625" bestFit="1" customWidth="1"/>
  </cols>
  <sheetData>
    <row r="1" spans="1:4" s="93" customFormat="1" ht="25.8" x14ac:dyDescent="0.5">
      <c r="A1" s="93" t="s">
        <v>149</v>
      </c>
    </row>
    <row r="2" spans="1:4" ht="15" thickBot="1" x14ac:dyDescent="0.35">
      <c r="A2" s="1" t="s">
        <v>42</v>
      </c>
    </row>
    <row r="3" spans="1:4" ht="15" thickBot="1" x14ac:dyDescent="0.35">
      <c r="B3" s="80" t="s">
        <v>3</v>
      </c>
      <c r="C3" s="80" t="s">
        <v>43</v>
      </c>
    </row>
    <row r="4" spans="1:4" ht="16.5" customHeight="1" thickBot="1" x14ac:dyDescent="0.35">
      <c r="A4" s="2" t="s">
        <v>41</v>
      </c>
      <c r="B4" s="25" t="s">
        <v>13</v>
      </c>
      <c r="C4" s="55">
        <v>2E-3</v>
      </c>
    </row>
    <row r="6" spans="1:4" ht="15" thickBot="1" x14ac:dyDescent="0.35">
      <c r="A6" s="1" t="s">
        <v>77</v>
      </c>
    </row>
    <row r="7" spans="1:4" ht="15" thickBot="1" x14ac:dyDescent="0.35">
      <c r="B7" s="107" t="s">
        <v>2</v>
      </c>
      <c r="C7" s="108" t="s">
        <v>3</v>
      </c>
      <c r="D7" s="109" t="s">
        <v>43</v>
      </c>
    </row>
    <row r="8" spans="1:4" ht="29.4" thickBot="1" x14ac:dyDescent="0.35">
      <c r="A8" s="18" t="s">
        <v>135</v>
      </c>
      <c r="B8" s="118" t="s">
        <v>133</v>
      </c>
      <c r="C8" s="118" t="s">
        <v>78</v>
      </c>
      <c r="D8" s="119">
        <v>495390</v>
      </c>
    </row>
    <row r="10" spans="1:4" ht="15" thickBot="1" x14ac:dyDescent="0.35">
      <c r="A10" s="1" t="s">
        <v>79</v>
      </c>
    </row>
    <row r="11" spans="1:4" ht="15" thickBot="1" x14ac:dyDescent="0.35">
      <c r="B11" s="107" t="s">
        <v>2</v>
      </c>
      <c r="C11" s="108" t="s">
        <v>3</v>
      </c>
      <c r="D11" s="109" t="s">
        <v>43</v>
      </c>
    </row>
    <row r="12" spans="1:4" ht="15" thickBot="1" x14ac:dyDescent="0.35">
      <c r="A12" s="18" t="s">
        <v>80</v>
      </c>
      <c r="B12" s="143" t="s">
        <v>134</v>
      </c>
      <c r="C12" s="118" t="s">
        <v>55</v>
      </c>
      <c r="D12" s="119">
        <v>0.65</v>
      </c>
    </row>
    <row r="13" spans="1:4" ht="15" thickBot="1" x14ac:dyDescent="0.35">
      <c r="A13" s="13" t="s">
        <v>81</v>
      </c>
      <c r="B13" s="144"/>
      <c r="C13" s="43" t="s">
        <v>55</v>
      </c>
      <c r="D13" s="55">
        <v>10</v>
      </c>
    </row>
  </sheetData>
  <mergeCells count="1">
    <mergeCell ref="B12:B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29"/>
  <sheetViews>
    <sheetView topLeftCell="K1" workbookViewId="0">
      <selection activeCell="C3" sqref="C3:AA3"/>
    </sheetView>
  </sheetViews>
  <sheetFormatPr baseColWidth="10" defaultRowHeight="14.4" x14ac:dyDescent="0.3"/>
  <cols>
    <col min="1" max="1" width="26.44140625" customWidth="1"/>
    <col min="3" max="3" width="16.6640625" customWidth="1"/>
    <col min="4" max="4" width="11.77734375" bestFit="1" customWidth="1"/>
    <col min="5" max="6" width="17.33203125" customWidth="1"/>
    <col min="7" max="7" width="19.21875" bestFit="1" customWidth="1"/>
    <col min="8" max="8" width="20.44140625" bestFit="1" customWidth="1"/>
    <col min="9" max="9" width="13.5546875" bestFit="1" customWidth="1"/>
    <col min="10" max="10" width="15.6640625" bestFit="1" customWidth="1"/>
    <col min="11" max="11" width="15.5546875" bestFit="1" customWidth="1"/>
  </cols>
  <sheetData>
    <row r="1" spans="1:53" s="93" customFormat="1" ht="25.8" x14ac:dyDescent="0.5">
      <c r="A1" s="93" t="s">
        <v>148</v>
      </c>
    </row>
    <row r="2" spans="1:53" ht="15" thickBot="1" x14ac:dyDescent="0.35">
      <c r="A2" s="1" t="s">
        <v>32</v>
      </c>
    </row>
    <row r="3" spans="1:53" ht="15" thickBot="1" x14ac:dyDescent="0.35">
      <c r="B3" s="107" t="s">
        <v>3</v>
      </c>
      <c r="C3" s="108">
        <v>1</v>
      </c>
      <c r="D3" s="108">
        <v>2</v>
      </c>
      <c r="E3" s="108">
        <v>3</v>
      </c>
      <c r="F3" s="108">
        <v>4</v>
      </c>
      <c r="G3" s="108">
        <v>5</v>
      </c>
      <c r="H3" s="108">
        <v>6</v>
      </c>
      <c r="I3" s="108">
        <v>7</v>
      </c>
      <c r="J3" s="108">
        <v>8</v>
      </c>
      <c r="K3" s="108">
        <v>9</v>
      </c>
      <c r="L3" s="108">
        <v>10</v>
      </c>
      <c r="M3" s="108">
        <v>11</v>
      </c>
      <c r="N3" s="108">
        <v>12</v>
      </c>
      <c r="O3" s="108">
        <v>13</v>
      </c>
      <c r="P3" s="108">
        <v>14</v>
      </c>
      <c r="Q3" s="108">
        <v>15</v>
      </c>
      <c r="R3" s="108">
        <v>16</v>
      </c>
      <c r="S3" s="108">
        <v>17</v>
      </c>
      <c r="T3" s="108">
        <v>18</v>
      </c>
      <c r="U3" s="108">
        <v>19</v>
      </c>
      <c r="V3" s="108">
        <v>20</v>
      </c>
      <c r="W3" s="108">
        <v>21</v>
      </c>
      <c r="X3" s="108">
        <v>22</v>
      </c>
      <c r="Y3" s="108">
        <v>23</v>
      </c>
      <c r="Z3" s="108">
        <v>24</v>
      </c>
      <c r="AA3" s="109">
        <v>25</v>
      </c>
    </row>
    <row r="4" spans="1:53" ht="28.8" x14ac:dyDescent="0.3">
      <c r="A4" s="9" t="s">
        <v>138</v>
      </c>
      <c r="B4" s="145" t="s">
        <v>139</v>
      </c>
      <c r="C4" s="115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32.6351792782879</v>
      </c>
      <c r="M4" s="7">
        <v>0</v>
      </c>
      <c r="N4" s="7">
        <v>0</v>
      </c>
      <c r="O4" s="7">
        <v>0</v>
      </c>
      <c r="P4" s="7">
        <v>0</v>
      </c>
      <c r="Q4" s="7">
        <v>0.91078166716576225</v>
      </c>
      <c r="R4" s="7">
        <v>2.5709270765843617</v>
      </c>
      <c r="S4" s="7">
        <v>1.1878758974513119</v>
      </c>
      <c r="T4" s="7">
        <v>5.0396710058907273</v>
      </c>
      <c r="U4" s="7">
        <v>0</v>
      </c>
      <c r="V4" s="7">
        <v>4.9895321532805788E-3</v>
      </c>
      <c r="W4" s="7">
        <v>0</v>
      </c>
      <c r="X4" s="7">
        <v>0</v>
      </c>
      <c r="Y4" s="7">
        <v>0</v>
      </c>
      <c r="Z4" s="7">
        <v>0</v>
      </c>
      <c r="AA4" s="8">
        <v>0</v>
      </c>
    </row>
    <row r="5" spans="1:53" ht="28.8" x14ac:dyDescent="0.3">
      <c r="A5" s="9" t="s">
        <v>140</v>
      </c>
      <c r="B5" s="145"/>
      <c r="C5" s="22">
        <v>0.66524653643185783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2">
        <v>0</v>
      </c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</row>
    <row r="6" spans="1:53" ht="28.8" x14ac:dyDescent="0.3">
      <c r="A6" s="9" t="s">
        <v>141</v>
      </c>
      <c r="B6" s="145"/>
      <c r="C6" s="22">
        <v>0</v>
      </c>
      <c r="D6" s="11">
        <v>0.87408240066229426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2">
        <v>0</v>
      </c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</row>
    <row r="7" spans="1:53" ht="29.4" thickBot="1" x14ac:dyDescent="0.35">
      <c r="A7" s="13" t="s">
        <v>142</v>
      </c>
      <c r="B7" s="146"/>
      <c r="C7" s="23">
        <v>2.8646158043542539E-2</v>
      </c>
      <c r="D7" s="15">
        <v>9.4997751701268549E-2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6">
        <v>0</v>
      </c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</row>
    <row r="9" spans="1:53" ht="15" thickBot="1" x14ac:dyDescent="0.35">
      <c r="A9" s="1" t="s">
        <v>45</v>
      </c>
      <c r="B9" s="26"/>
    </row>
    <row r="10" spans="1:53" ht="15" thickBot="1" x14ac:dyDescent="0.35">
      <c r="A10" s="40"/>
      <c r="B10" s="101" t="s">
        <v>2</v>
      </c>
      <c r="C10" s="102" t="s">
        <v>3</v>
      </c>
      <c r="D10" s="108" t="s">
        <v>34</v>
      </c>
      <c r="E10" s="108" t="s">
        <v>154</v>
      </c>
      <c r="F10" s="108" t="s">
        <v>35</v>
      </c>
      <c r="G10" s="108" t="s">
        <v>36</v>
      </c>
      <c r="H10" s="108" t="s">
        <v>44</v>
      </c>
      <c r="I10" s="108" t="s">
        <v>37</v>
      </c>
      <c r="J10" s="108" t="s">
        <v>38</v>
      </c>
      <c r="K10" s="108" t="s">
        <v>39</v>
      </c>
      <c r="L10" s="109" t="s">
        <v>33</v>
      </c>
    </row>
    <row r="11" spans="1:53" x14ac:dyDescent="0.3">
      <c r="A11" s="27" t="s">
        <v>12</v>
      </c>
      <c r="B11" s="139" t="s">
        <v>143</v>
      </c>
      <c r="C11" s="150" t="s">
        <v>13</v>
      </c>
      <c r="D11" s="94">
        <v>3</v>
      </c>
      <c r="E11" s="56">
        <v>3</v>
      </c>
      <c r="F11" s="56">
        <v>3</v>
      </c>
      <c r="G11" s="56">
        <v>3</v>
      </c>
      <c r="H11" s="56">
        <v>3</v>
      </c>
      <c r="I11" s="56">
        <v>3</v>
      </c>
      <c r="J11" s="56">
        <v>3</v>
      </c>
      <c r="K11" s="56">
        <v>3</v>
      </c>
      <c r="L11" s="120">
        <v>3</v>
      </c>
    </row>
    <row r="12" spans="1:53" x14ac:dyDescent="0.3">
      <c r="A12" s="30" t="s">
        <v>14</v>
      </c>
      <c r="B12" s="140"/>
      <c r="C12" s="150"/>
      <c r="D12" s="94">
        <v>9</v>
      </c>
      <c r="E12" s="56">
        <v>9</v>
      </c>
      <c r="F12" s="56">
        <v>9</v>
      </c>
      <c r="G12" s="56">
        <v>8</v>
      </c>
      <c r="H12" s="56">
        <v>9</v>
      </c>
      <c r="I12" s="56">
        <v>7</v>
      </c>
      <c r="J12" s="56">
        <v>7</v>
      </c>
      <c r="K12" s="56">
        <v>9</v>
      </c>
      <c r="L12" s="34">
        <v>1</v>
      </c>
    </row>
    <row r="13" spans="1:53" x14ac:dyDescent="0.3">
      <c r="A13" s="30" t="s">
        <v>15</v>
      </c>
      <c r="B13" s="140"/>
      <c r="C13" s="150"/>
      <c r="D13" s="32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4">
        <v>1</v>
      </c>
    </row>
    <row r="14" spans="1:53" ht="15" thickBot="1" x14ac:dyDescent="0.35">
      <c r="A14" s="35" t="s">
        <v>16</v>
      </c>
      <c r="B14" s="141"/>
      <c r="C14" s="151"/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9">
        <v>0</v>
      </c>
    </row>
    <row r="17" spans="1:5" ht="15" thickBot="1" x14ac:dyDescent="0.35">
      <c r="A17" s="1" t="s">
        <v>84</v>
      </c>
    </row>
    <row r="18" spans="1:5" ht="15" thickBot="1" x14ac:dyDescent="0.35">
      <c r="B18" s="24" t="s">
        <v>3</v>
      </c>
      <c r="C18" s="54" t="s">
        <v>43</v>
      </c>
    </row>
    <row r="19" spans="1:5" ht="14.4" customHeight="1" thickBot="1" x14ac:dyDescent="0.35">
      <c r="A19" s="84" t="s">
        <v>85</v>
      </c>
      <c r="B19" s="85" t="s">
        <v>86</v>
      </c>
      <c r="C19" s="85">
        <v>750000</v>
      </c>
    </row>
    <row r="20" spans="1:5" x14ac:dyDescent="0.3">
      <c r="A20" s="83"/>
      <c r="B20" s="53"/>
      <c r="C20" s="72"/>
      <c r="D20" s="76"/>
      <c r="E20" s="76"/>
    </row>
    <row r="21" spans="1:5" ht="15" thickBot="1" x14ac:dyDescent="0.35">
      <c r="A21" s="83" t="s">
        <v>88</v>
      </c>
      <c r="B21" s="53"/>
      <c r="C21" s="72"/>
      <c r="D21" s="76"/>
      <c r="E21" s="76"/>
    </row>
    <row r="22" spans="1:5" ht="15" thickBot="1" x14ac:dyDescent="0.35">
      <c r="A22" s="83"/>
      <c r="B22" s="24" t="s">
        <v>3</v>
      </c>
      <c r="C22" s="54" t="s">
        <v>43</v>
      </c>
    </row>
    <row r="23" spans="1:5" ht="28.8" x14ac:dyDescent="0.3">
      <c r="A23" s="18" t="s">
        <v>136</v>
      </c>
      <c r="B23" s="147" t="s">
        <v>86</v>
      </c>
      <c r="C23" s="29">
        <v>215000</v>
      </c>
    </row>
    <row r="24" spans="1:5" x14ac:dyDescent="0.3">
      <c r="A24" s="30" t="s">
        <v>137</v>
      </c>
      <c r="B24" s="148"/>
      <c r="C24" s="34">
        <v>3640000</v>
      </c>
      <c r="D24" s="82"/>
    </row>
    <row r="25" spans="1:5" ht="15" thickBot="1" x14ac:dyDescent="0.35">
      <c r="A25" s="35" t="s">
        <v>87</v>
      </c>
      <c r="B25" s="149"/>
      <c r="C25" s="39">
        <f>C23+C24</f>
        <v>3855000</v>
      </c>
    </row>
    <row r="27" spans="1:5" ht="15" thickBot="1" x14ac:dyDescent="0.35">
      <c r="A27" s="1" t="s">
        <v>82</v>
      </c>
    </row>
    <row r="28" spans="1:5" ht="15" thickBot="1" x14ac:dyDescent="0.35">
      <c r="A28" s="1"/>
      <c r="B28" s="24" t="s">
        <v>3</v>
      </c>
      <c r="C28" s="54" t="s">
        <v>43</v>
      </c>
    </row>
    <row r="29" spans="1:5" ht="29.4" thickBot="1" x14ac:dyDescent="0.35">
      <c r="A29" s="2" t="s">
        <v>83</v>
      </c>
      <c r="B29" s="81" t="s">
        <v>13</v>
      </c>
      <c r="C29" s="55">
        <v>2.3333333333333335E-3</v>
      </c>
    </row>
  </sheetData>
  <mergeCells count="4">
    <mergeCell ref="B4:B7"/>
    <mergeCell ref="B23:B25"/>
    <mergeCell ref="B11:B14"/>
    <mergeCell ref="C11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3919-2D7E-488A-9107-8B57682FD5EE}">
  <dimension ref="A1:AB16"/>
  <sheetViews>
    <sheetView workbookViewId="0">
      <selection activeCell="D10" sqref="D10:AB10"/>
    </sheetView>
  </sheetViews>
  <sheetFormatPr baseColWidth="10" defaultRowHeight="14.4" x14ac:dyDescent="0.3"/>
  <sheetData>
    <row r="1" spans="1:28" ht="15" thickBot="1" x14ac:dyDescent="0.35">
      <c r="A1" s="1" t="s">
        <v>175</v>
      </c>
    </row>
    <row r="2" spans="1:28" ht="15" thickBot="1" x14ac:dyDescent="0.35">
      <c r="B2" s="4" t="s">
        <v>2</v>
      </c>
      <c r="C2" s="5" t="s">
        <v>3</v>
      </c>
      <c r="D2" s="4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4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5">
        <v>25</v>
      </c>
    </row>
    <row r="3" spans="1:28" ht="28.8" x14ac:dyDescent="0.3">
      <c r="A3" s="18" t="s">
        <v>164</v>
      </c>
      <c r="B3" s="152" t="s">
        <v>176</v>
      </c>
      <c r="C3" s="8" t="s">
        <v>165</v>
      </c>
      <c r="D3" s="6">
        <v>9.2532882329322229E-6</v>
      </c>
      <c r="E3" s="7">
        <v>0</v>
      </c>
      <c r="F3" s="7">
        <v>0</v>
      </c>
      <c r="G3" s="7">
        <v>0</v>
      </c>
      <c r="H3" s="7">
        <v>1.0958727246936731E-4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1.6093470390009489E-5</v>
      </c>
      <c r="AB3" s="8">
        <v>5.1614371057616756E-7</v>
      </c>
    </row>
    <row r="4" spans="1:28" x14ac:dyDescent="0.3">
      <c r="A4" s="9" t="s">
        <v>166</v>
      </c>
      <c r="B4" s="153"/>
      <c r="C4" s="12" t="s">
        <v>167</v>
      </c>
      <c r="D4" s="10">
        <v>1.484894913404418E-5</v>
      </c>
      <c r="E4" s="11">
        <v>0</v>
      </c>
      <c r="F4" s="11">
        <v>2.3906360046584169E-5</v>
      </c>
      <c r="G4" s="11">
        <v>0</v>
      </c>
      <c r="H4" s="11">
        <v>0</v>
      </c>
      <c r="I4" s="11">
        <v>0</v>
      </c>
      <c r="J4" s="11">
        <v>0</v>
      </c>
      <c r="K4" s="11">
        <v>2.3906360046584169E-5</v>
      </c>
      <c r="L4" s="11">
        <v>0</v>
      </c>
      <c r="M4" s="11">
        <v>9.1863669150473893E-5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7.0699248233416659E-5</v>
      </c>
      <c r="AB4" s="12">
        <v>1.6256291738389055E-4</v>
      </c>
    </row>
    <row r="5" spans="1:28" ht="28.8" x14ac:dyDescent="0.3">
      <c r="A5" s="9" t="s">
        <v>168</v>
      </c>
      <c r="B5" s="153"/>
      <c r="C5" s="12" t="s">
        <v>169</v>
      </c>
      <c r="D5" s="10">
        <v>8.0929491125146808E-7</v>
      </c>
      <c r="E5" s="11">
        <v>0</v>
      </c>
      <c r="F5" s="11">
        <v>1.9385681502325283E-7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2">
        <v>0</v>
      </c>
    </row>
    <row r="6" spans="1:28" ht="28.8" x14ac:dyDescent="0.3">
      <c r="A6" s="9" t="s">
        <v>170</v>
      </c>
      <c r="B6" s="153"/>
      <c r="C6" s="12" t="s">
        <v>171</v>
      </c>
      <c r="D6" s="10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4.2237398617842288E-3</v>
      </c>
      <c r="P6" s="11">
        <v>4.2237398617842288E-3</v>
      </c>
      <c r="Q6" s="11">
        <v>4.2237398617842288E-3</v>
      </c>
      <c r="R6" s="11">
        <v>4.2237398617842288E-3</v>
      </c>
      <c r="S6" s="11">
        <v>4.2237398617842288E-3</v>
      </c>
      <c r="T6" s="11">
        <v>4.2237398617842288E-3</v>
      </c>
      <c r="U6" s="11">
        <v>4.2237398617842288E-3</v>
      </c>
      <c r="V6" s="11">
        <v>4.2237398617842288E-3</v>
      </c>
      <c r="W6" s="11">
        <v>4.2237398617842288E-3</v>
      </c>
      <c r="X6" s="11">
        <v>0</v>
      </c>
      <c r="Y6" s="11">
        <v>0</v>
      </c>
      <c r="Z6" s="11">
        <v>0</v>
      </c>
      <c r="AA6" s="11">
        <v>0</v>
      </c>
      <c r="AB6" s="12">
        <v>0</v>
      </c>
    </row>
    <row r="7" spans="1:28" x14ac:dyDescent="0.3">
      <c r="A7" s="9" t="s">
        <v>172</v>
      </c>
      <c r="B7" s="153"/>
      <c r="C7" s="12" t="s">
        <v>173</v>
      </c>
      <c r="D7" s="10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3.5717969111722106E-2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2">
        <v>0</v>
      </c>
    </row>
    <row r="8" spans="1:28" ht="15" thickBot="1" x14ac:dyDescent="0.35">
      <c r="A8" s="13" t="s">
        <v>174</v>
      </c>
      <c r="B8" s="154"/>
      <c r="C8" s="16" t="s">
        <v>173</v>
      </c>
      <c r="D8" s="14">
        <v>0</v>
      </c>
      <c r="E8" s="15">
        <v>0</v>
      </c>
      <c r="F8" s="15">
        <v>0</v>
      </c>
      <c r="G8" s="15">
        <v>6.907898936819799E-4</v>
      </c>
      <c r="H8" s="15">
        <v>6.907898936819799E-4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6.907898936819799E-4</v>
      </c>
      <c r="AB8" s="16">
        <v>0</v>
      </c>
    </row>
    <row r="9" spans="1:28" ht="15" thickBot="1" x14ac:dyDescent="0.35"/>
    <row r="10" spans="1:28" ht="15" thickBot="1" x14ac:dyDescent="0.35">
      <c r="B10" s="4" t="s">
        <v>2</v>
      </c>
      <c r="C10" s="5" t="s">
        <v>3</v>
      </c>
      <c r="D10" s="4">
        <v>1</v>
      </c>
      <c r="E10" s="3">
        <v>2</v>
      </c>
      <c r="F10" s="3">
        <v>3</v>
      </c>
      <c r="G10" s="3">
        <v>4</v>
      </c>
      <c r="H10" s="3">
        <v>5</v>
      </c>
      <c r="I10" s="3">
        <v>6</v>
      </c>
      <c r="J10" s="3">
        <v>7</v>
      </c>
      <c r="K10" s="3">
        <v>8</v>
      </c>
      <c r="L10" s="3">
        <v>9</v>
      </c>
      <c r="M10" s="3">
        <v>10</v>
      </c>
      <c r="N10" s="3">
        <v>11</v>
      </c>
      <c r="O10" s="3">
        <v>12</v>
      </c>
      <c r="P10" s="3">
        <v>13</v>
      </c>
      <c r="Q10" s="3">
        <v>14</v>
      </c>
      <c r="R10" s="3">
        <v>15</v>
      </c>
      <c r="S10" s="3">
        <v>16</v>
      </c>
      <c r="T10" s="3">
        <v>17</v>
      </c>
      <c r="U10" s="3">
        <v>18</v>
      </c>
      <c r="V10" s="4">
        <v>19</v>
      </c>
      <c r="W10" s="3">
        <v>20</v>
      </c>
      <c r="X10" s="3">
        <v>21</v>
      </c>
      <c r="Y10" s="3">
        <v>22</v>
      </c>
      <c r="Z10" s="3">
        <v>23</v>
      </c>
      <c r="AA10" s="3">
        <v>24</v>
      </c>
      <c r="AB10" s="5">
        <v>25</v>
      </c>
    </row>
    <row r="11" spans="1:28" ht="29.4" thickBot="1" x14ac:dyDescent="0.35">
      <c r="A11" s="18" t="s">
        <v>164</v>
      </c>
      <c r="B11" s="155" t="s">
        <v>177</v>
      </c>
      <c r="C11" s="21" t="s">
        <v>165</v>
      </c>
      <c r="D11" s="122">
        <v>6.4773017630525554E-6</v>
      </c>
      <c r="E11" s="122">
        <v>0</v>
      </c>
      <c r="F11" s="122">
        <v>0</v>
      </c>
      <c r="G11" s="122">
        <v>0</v>
      </c>
      <c r="H11" s="122">
        <v>7.6711090728557105E-5</v>
      </c>
      <c r="I11" s="122">
        <v>0</v>
      </c>
      <c r="J11" s="122">
        <v>0</v>
      </c>
      <c r="K11" s="122">
        <v>0</v>
      </c>
      <c r="L11" s="122">
        <v>0</v>
      </c>
      <c r="M11" s="122">
        <v>0</v>
      </c>
      <c r="N11" s="122">
        <v>0</v>
      </c>
      <c r="O11" s="122">
        <v>0</v>
      </c>
      <c r="P11" s="122">
        <v>0</v>
      </c>
      <c r="Q11" s="122">
        <v>0</v>
      </c>
      <c r="R11" s="122">
        <v>0</v>
      </c>
      <c r="S11" s="122">
        <v>0</v>
      </c>
      <c r="T11" s="122">
        <v>0</v>
      </c>
      <c r="U11" s="122">
        <v>0</v>
      </c>
      <c r="V11" s="122">
        <v>0</v>
      </c>
      <c r="W11" s="122">
        <v>0</v>
      </c>
      <c r="X11" s="122">
        <v>0</v>
      </c>
      <c r="Y11" s="122">
        <v>0</v>
      </c>
      <c r="Z11" s="122">
        <v>0</v>
      </c>
      <c r="AA11" s="122">
        <v>1.1265429273006642E-5</v>
      </c>
      <c r="AB11" s="122">
        <v>3.6130059740331726E-7</v>
      </c>
    </row>
    <row r="12" spans="1:28" ht="15" thickBot="1" x14ac:dyDescent="0.35">
      <c r="A12" s="9" t="s">
        <v>166</v>
      </c>
      <c r="B12" s="156"/>
      <c r="C12" s="12" t="s">
        <v>167</v>
      </c>
      <c r="D12" s="122">
        <v>1.0394264393830926E-5</v>
      </c>
      <c r="E12" s="122">
        <v>0</v>
      </c>
      <c r="F12" s="122">
        <v>1.6734452032608918E-5</v>
      </c>
      <c r="G12" s="122">
        <v>0</v>
      </c>
      <c r="H12" s="122">
        <v>0</v>
      </c>
      <c r="I12" s="122">
        <v>0</v>
      </c>
      <c r="J12" s="122">
        <v>0</v>
      </c>
      <c r="K12" s="122">
        <v>1.6734452032608918E-5</v>
      </c>
      <c r="L12" s="122">
        <v>0</v>
      </c>
      <c r="M12" s="122">
        <v>6.4304568405331727E-5</v>
      </c>
      <c r="N12" s="122">
        <v>0</v>
      </c>
      <c r="O12" s="122">
        <v>0</v>
      </c>
      <c r="P12" s="122">
        <v>0</v>
      </c>
      <c r="Q12" s="122">
        <v>0</v>
      </c>
      <c r="R12" s="122">
        <v>0</v>
      </c>
      <c r="S12" s="122">
        <v>0</v>
      </c>
      <c r="T12" s="122">
        <v>0</v>
      </c>
      <c r="U12" s="122">
        <v>0</v>
      </c>
      <c r="V12" s="122">
        <v>0</v>
      </c>
      <c r="W12" s="122">
        <v>0</v>
      </c>
      <c r="X12" s="122">
        <v>0</v>
      </c>
      <c r="Y12" s="122">
        <v>0</v>
      </c>
      <c r="Z12" s="122">
        <v>0</v>
      </c>
      <c r="AA12" s="122">
        <v>4.9489473763391656E-5</v>
      </c>
      <c r="AB12" s="122">
        <v>1.1379404216872338E-4</v>
      </c>
    </row>
    <row r="13" spans="1:28" ht="29.4" thickBot="1" x14ac:dyDescent="0.35">
      <c r="A13" s="9" t="s">
        <v>168</v>
      </c>
      <c r="B13" s="156"/>
      <c r="C13" s="12" t="s">
        <v>169</v>
      </c>
      <c r="D13" s="122">
        <v>5.6650643787602757E-7</v>
      </c>
      <c r="E13" s="122">
        <v>0</v>
      </c>
      <c r="F13" s="122">
        <v>1.3569977051627697E-7</v>
      </c>
      <c r="G13" s="122">
        <v>0</v>
      </c>
      <c r="H13" s="122">
        <v>0</v>
      </c>
      <c r="I13" s="122">
        <v>0</v>
      </c>
      <c r="J13" s="122">
        <v>0</v>
      </c>
      <c r="K13" s="122">
        <v>0</v>
      </c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0</v>
      </c>
      <c r="R13" s="122">
        <v>0</v>
      </c>
      <c r="S13" s="122">
        <v>0</v>
      </c>
      <c r="T13" s="122">
        <v>0</v>
      </c>
      <c r="U13" s="122">
        <v>0</v>
      </c>
      <c r="V13" s="122">
        <v>0</v>
      </c>
      <c r="W13" s="122">
        <v>0</v>
      </c>
      <c r="X13" s="122">
        <v>0</v>
      </c>
      <c r="Y13" s="122">
        <v>0</v>
      </c>
      <c r="Z13" s="122">
        <v>0</v>
      </c>
      <c r="AA13" s="122">
        <v>0</v>
      </c>
      <c r="AB13" s="122">
        <v>0</v>
      </c>
    </row>
    <row r="14" spans="1:28" ht="29.4" thickBot="1" x14ac:dyDescent="0.35">
      <c r="A14" s="9" t="s">
        <v>170</v>
      </c>
      <c r="B14" s="156"/>
      <c r="C14" s="12" t="s">
        <v>171</v>
      </c>
      <c r="D14" s="122">
        <v>0</v>
      </c>
      <c r="E14" s="122">
        <v>0</v>
      </c>
      <c r="F14" s="122">
        <v>0</v>
      </c>
      <c r="G14" s="122">
        <v>0</v>
      </c>
      <c r="H14" s="122">
        <v>0</v>
      </c>
      <c r="I14" s="122">
        <v>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2.9566179032489599E-3</v>
      </c>
      <c r="P14" s="122">
        <v>2.9566179032489599E-3</v>
      </c>
      <c r="Q14" s="122">
        <v>2.9566179032489599E-3</v>
      </c>
      <c r="R14" s="122">
        <v>2.9566179032489599E-3</v>
      </c>
      <c r="S14" s="122">
        <v>2.9566179032489599E-3</v>
      </c>
      <c r="T14" s="122">
        <v>2.9566179032489599E-3</v>
      </c>
      <c r="U14" s="122">
        <v>2.9566179032489599E-3</v>
      </c>
      <c r="V14" s="122">
        <v>2.9566179032489599E-3</v>
      </c>
      <c r="W14" s="122">
        <v>2.9566179032489599E-3</v>
      </c>
      <c r="X14" s="122">
        <v>0</v>
      </c>
      <c r="Y14" s="122">
        <v>0</v>
      </c>
      <c r="Z14" s="122">
        <v>0</v>
      </c>
      <c r="AA14" s="122">
        <v>0</v>
      </c>
      <c r="AB14" s="122">
        <v>0</v>
      </c>
    </row>
    <row r="15" spans="1:28" ht="15" thickBot="1" x14ac:dyDescent="0.35">
      <c r="A15" s="9" t="s">
        <v>172</v>
      </c>
      <c r="B15" s="156"/>
      <c r="C15" s="12" t="s">
        <v>173</v>
      </c>
      <c r="D15" s="122">
        <v>0</v>
      </c>
      <c r="E15" s="122">
        <v>0</v>
      </c>
      <c r="F15" s="122">
        <v>0</v>
      </c>
      <c r="G15" s="122">
        <v>0</v>
      </c>
      <c r="H15" s="122">
        <v>0</v>
      </c>
      <c r="I15" s="122">
        <v>0</v>
      </c>
      <c r="J15" s="122">
        <v>0</v>
      </c>
      <c r="K15" s="122">
        <v>0</v>
      </c>
      <c r="L15" s="122">
        <v>0</v>
      </c>
      <c r="M15" s="122">
        <v>0</v>
      </c>
      <c r="N15" s="122">
        <v>2.5002578378205471E-2</v>
      </c>
      <c r="O15" s="122">
        <v>0</v>
      </c>
      <c r="P15" s="122">
        <v>0</v>
      </c>
      <c r="Q15" s="122">
        <v>0</v>
      </c>
      <c r="R15" s="122">
        <v>0</v>
      </c>
      <c r="S15" s="122">
        <v>0</v>
      </c>
      <c r="T15" s="122">
        <v>0</v>
      </c>
      <c r="U15" s="122">
        <v>0</v>
      </c>
      <c r="V15" s="122">
        <v>0</v>
      </c>
      <c r="W15" s="122">
        <v>0</v>
      </c>
      <c r="X15" s="122">
        <v>0</v>
      </c>
      <c r="Y15" s="122">
        <v>0</v>
      </c>
      <c r="Z15" s="122">
        <v>0</v>
      </c>
      <c r="AA15" s="122">
        <v>0</v>
      </c>
      <c r="AB15" s="122">
        <v>0</v>
      </c>
    </row>
    <row r="16" spans="1:28" ht="15" thickBot="1" x14ac:dyDescent="0.35">
      <c r="A16" s="13" t="s">
        <v>174</v>
      </c>
      <c r="B16" s="157"/>
      <c r="C16" s="16" t="s">
        <v>173</v>
      </c>
      <c r="D16" s="122">
        <v>0</v>
      </c>
      <c r="E16" s="122">
        <v>0</v>
      </c>
      <c r="F16" s="122">
        <v>0</v>
      </c>
      <c r="G16" s="122">
        <v>4.8355292557738589E-4</v>
      </c>
      <c r="H16" s="122">
        <v>4.8355292557738589E-4</v>
      </c>
      <c r="I16" s="122">
        <v>0</v>
      </c>
      <c r="J16" s="122">
        <v>0</v>
      </c>
      <c r="K16" s="122">
        <v>0</v>
      </c>
      <c r="L16" s="122">
        <v>0</v>
      </c>
      <c r="M16" s="122">
        <v>0</v>
      </c>
      <c r="N16" s="122">
        <v>0</v>
      </c>
      <c r="O16" s="122">
        <v>0</v>
      </c>
      <c r="P16" s="122">
        <v>0</v>
      </c>
      <c r="Q16" s="122">
        <v>0</v>
      </c>
      <c r="R16" s="122">
        <v>0</v>
      </c>
      <c r="S16" s="122">
        <v>0</v>
      </c>
      <c r="T16" s="122">
        <v>0</v>
      </c>
      <c r="U16" s="122">
        <v>0</v>
      </c>
      <c r="V16" s="122">
        <v>0</v>
      </c>
      <c r="W16" s="122">
        <v>0</v>
      </c>
      <c r="X16" s="122">
        <v>0</v>
      </c>
      <c r="Y16" s="122">
        <v>0</v>
      </c>
      <c r="Z16" s="122">
        <v>0</v>
      </c>
      <c r="AA16" s="122">
        <v>4.8355292557738589E-4</v>
      </c>
      <c r="AB16" s="122">
        <v>0</v>
      </c>
    </row>
  </sheetData>
  <mergeCells count="2">
    <mergeCell ref="B3:B8"/>
    <mergeCell ref="B11:B16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>
      <selection activeCell="D7" sqref="D7"/>
    </sheetView>
  </sheetViews>
  <sheetFormatPr baseColWidth="10" defaultRowHeight="14.4" x14ac:dyDescent="0.3"/>
  <cols>
    <col min="1" max="1" width="75" bestFit="1" customWidth="1"/>
    <col min="2" max="2" width="38" customWidth="1"/>
    <col min="3" max="3" width="37.77734375" customWidth="1"/>
  </cols>
  <sheetData>
    <row r="1" spans="1:3" ht="26.4" thickBot="1" x14ac:dyDescent="0.55000000000000004">
      <c r="A1" s="93" t="s">
        <v>147</v>
      </c>
    </row>
    <row r="2" spans="1:3" ht="15" thickBot="1" x14ac:dyDescent="0.35">
      <c r="B2" s="121" t="s">
        <v>162</v>
      </c>
      <c r="C2" s="121" t="s">
        <v>163</v>
      </c>
    </row>
    <row r="3" spans="1:3" x14ac:dyDescent="0.3">
      <c r="A3" s="18" t="s">
        <v>115</v>
      </c>
      <c r="B3" s="92">
        <v>1</v>
      </c>
      <c r="C3" s="92">
        <v>1</v>
      </c>
    </row>
    <row r="4" spans="1:3" x14ac:dyDescent="0.3">
      <c r="A4" s="9" t="s">
        <v>99</v>
      </c>
      <c r="B4" s="92">
        <v>1</v>
      </c>
      <c r="C4" s="92">
        <v>1</v>
      </c>
    </row>
    <row r="5" spans="1:3" x14ac:dyDescent="0.3">
      <c r="A5" s="9" t="s">
        <v>107</v>
      </c>
      <c r="B5" s="92">
        <v>1</v>
      </c>
      <c r="C5" s="92">
        <v>1</v>
      </c>
    </row>
    <row r="6" spans="1:3" x14ac:dyDescent="0.3">
      <c r="A6" s="9" t="s">
        <v>97</v>
      </c>
      <c r="B6" s="92">
        <v>1</v>
      </c>
      <c r="C6" s="92">
        <v>1</v>
      </c>
    </row>
    <row r="7" spans="1:3" x14ac:dyDescent="0.3">
      <c r="A7" s="9" t="s">
        <v>98</v>
      </c>
      <c r="B7" s="92">
        <v>1</v>
      </c>
      <c r="C7" s="92">
        <v>1</v>
      </c>
    </row>
    <row r="8" spans="1:3" x14ac:dyDescent="0.3">
      <c r="A8" s="9" t="s">
        <v>100</v>
      </c>
      <c r="B8" s="92">
        <v>1</v>
      </c>
      <c r="C8" s="92">
        <v>1</v>
      </c>
    </row>
    <row r="9" spans="1:3" x14ac:dyDescent="0.3">
      <c r="A9" s="9" t="s">
        <v>101</v>
      </c>
      <c r="B9" s="92">
        <v>1</v>
      </c>
      <c r="C9" s="92">
        <v>1</v>
      </c>
    </row>
    <row r="10" spans="1:3" x14ac:dyDescent="0.3">
      <c r="A10" s="9" t="s">
        <v>102</v>
      </c>
      <c r="B10" s="92">
        <v>1</v>
      </c>
      <c r="C10" s="92">
        <v>1</v>
      </c>
    </row>
    <row r="11" spans="1:3" x14ac:dyDescent="0.3">
      <c r="A11" s="9" t="s">
        <v>103</v>
      </c>
      <c r="B11" s="92">
        <v>1</v>
      </c>
      <c r="C11" s="92">
        <v>1</v>
      </c>
    </row>
    <row r="12" spans="1:3" x14ac:dyDescent="0.3">
      <c r="A12" s="9" t="s">
        <v>104</v>
      </c>
      <c r="B12" s="92">
        <v>1</v>
      </c>
      <c r="C12" s="92">
        <v>1</v>
      </c>
    </row>
    <row r="13" spans="1:3" x14ac:dyDescent="0.3">
      <c r="A13" s="9" t="s">
        <v>105</v>
      </c>
      <c r="B13" s="92">
        <v>1</v>
      </c>
      <c r="C13" s="92">
        <v>1</v>
      </c>
    </row>
    <row r="14" spans="1:3" x14ac:dyDescent="0.3">
      <c r="A14" s="9" t="s">
        <v>106</v>
      </c>
      <c r="B14" s="92">
        <v>1</v>
      </c>
      <c r="C14" s="92">
        <v>1</v>
      </c>
    </row>
    <row r="15" spans="1:3" x14ac:dyDescent="0.3">
      <c r="A15" s="9" t="s">
        <v>144</v>
      </c>
      <c r="B15" s="92">
        <v>0</v>
      </c>
      <c r="C15" s="92">
        <v>1</v>
      </c>
    </row>
    <row r="16" spans="1:3" x14ac:dyDescent="0.3">
      <c r="A16" s="9" t="s">
        <v>145</v>
      </c>
      <c r="B16" s="92">
        <v>0</v>
      </c>
      <c r="C16" s="92">
        <v>1</v>
      </c>
    </row>
    <row r="17" spans="1:3" ht="15" thickBot="1" x14ac:dyDescent="0.35">
      <c r="A17" s="13" t="s">
        <v>146</v>
      </c>
      <c r="B17" s="92">
        <v>0</v>
      </c>
      <c r="C17" s="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59</vt:i4>
      </vt:variant>
    </vt:vector>
  </HeadingPairs>
  <TitlesOfParts>
    <vt:vector size="66" baseType="lpstr">
      <vt:lpstr>Population</vt:lpstr>
      <vt:lpstr>Economy</vt:lpstr>
      <vt:lpstr>Labour</vt:lpstr>
      <vt:lpstr>Energy</vt:lpstr>
      <vt:lpstr>Land</vt:lpstr>
      <vt:lpstr>Stressors</vt:lpstr>
      <vt:lpstr>Switches</vt:lpstr>
      <vt:lpstr>A_MATRIX_2100</vt:lpstr>
      <vt:lpstr>ALPHA_DAMAGE_LABOUR_PRODUCTIVITY</vt:lpstr>
      <vt:lpstr>ALPHA_DAMAGE_LABOUR_SUPPLY</vt:lpstr>
      <vt:lpstr>ALPHA_DEPENDENT_POPULATION</vt:lpstr>
      <vt:lpstr>ALPHA_LAND_SUBSISTENCE_DAMAGE</vt:lpstr>
      <vt:lpstr>ALPHA_OUTPUT_LOSSES_A_MATRIX</vt:lpstr>
      <vt:lpstr>ALPHA_SUPPORTING_INDUSTRY</vt:lpstr>
      <vt:lpstr>ANNUAL_WORKING_HOURS</vt:lpstr>
      <vt:lpstr>BETA_0_EXTRACTION</vt:lpstr>
      <vt:lpstr>BETA_0_FORMAL_ECONOMY_TO_SUBSISTENCE</vt:lpstr>
      <vt:lpstr>BETA_1_EXTRACTION</vt:lpstr>
      <vt:lpstr>BETA_1_FORMAL_ECONOMY_TO_SUBSISTENCE</vt:lpstr>
      <vt:lpstr>BETA_1_SUBSISTENCE_TO_FORMAL_ECONOMY</vt:lpstr>
      <vt:lpstr>BETA_OUTPUT_LOSSES_A_MATRIX</vt:lpstr>
      <vt:lpstr>CAPITAL_INTENSITY_2100</vt:lpstr>
      <vt:lpstr>DESIRED_CONSUMPTION_GROWTH_RATE_SP</vt:lpstr>
      <vt:lpstr>GAMMA_OUTPUT_LOSSES_A_MATRIX</vt:lpstr>
      <vt:lpstr>INITIAL_RECOVERABLE_RESOURCES_OF_FOSSIL_FUELS</vt:lpstr>
      <vt:lpstr>MAXIMUM_DEPRECIATION_RATE_CAUSED_BY_SEA_LEVEL_RISE_2°C_SP</vt:lpstr>
      <vt:lpstr>MAXIMUM_DEPRECIATION_RATE_CAUSED_BY_SEA_LEVEL_RISE_3°C_SP</vt:lpstr>
      <vt:lpstr>MAXIMUM_DEPRECIATION_RATE_CAUSED_BY_SEA_LEVEL_RISE_4°C_SP</vt:lpstr>
      <vt:lpstr>MAXIMUM_FOODLAND_LOSS_CAUSED_BY_CLIMATE_CHANGE</vt:lpstr>
      <vt:lpstr>MAXIMUM_LAND_LOSS_CAUSED_BY_CLIMATE_CHANGE</vt:lpstr>
      <vt:lpstr>MAXIMUM_PARTICIPATION_RATE_SP</vt:lpstr>
      <vt:lpstr>MAXIMUM_SHARE_OF_EXTRACTABLE_FOSSIL_FUEL_RESOURCES_PER_YEAR_SP</vt:lpstr>
      <vt:lpstr>OUTPUT_LOSSES_FACTOR</vt:lpstr>
      <vt:lpstr>PEXTRA_DEMAND_MP</vt:lpstr>
      <vt:lpstr>PEXTRA_LAND_MP</vt:lpstr>
      <vt:lpstr>PPRIORITY_DEMAND_MP</vt:lpstr>
      <vt:lpstr>PPRIORITY_LAND_MP</vt:lpstr>
      <vt:lpstr>PTYPE_DEMAND_MP</vt:lpstr>
      <vt:lpstr>PTYPE_LAND_MP</vt:lpstr>
      <vt:lpstr>PWIDTH_DEMAND_MP</vt:lpstr>
      <vt:lpstr>PWIDTH_LAND_MP</vt:lpstr>
      <vt:lpstr>SECTORAL_SHARES_OF_DAMAGES_IN_CAPITAL_STOCK</vt:lpstr>
      <vt:lpstr>Sensitivity_of_C_Uptake_to_Temperature</vt:lpstr>
      <vt:lpstr>Sensitivity_of_Methane_Emissions_to_Permafrost_and_Clathrate</vt:lpstr>
      <vt:lpstr>Sensitivity_of_Methane_Emissions_to_Temperature</vt:lpstr>
      <vt:lpstr>SIGMA_SLR_SP</vt:lpstr>
      <vt:lpstr>SWITCH_DAMAGES_ON_LABOUR_PRODUCTIVITY_BY_HEAT_SP</vt:lpstr>
      <vt:lpstr>SWITCH_DEPRECIATION_RATE_CAUSED_BY_CLIMATE_CHANGE_SP</vt:lpstr>
      <vt:lpstr>SWITCH_DEPRECIATION_RATE_CAUSED_BY_SEA_LEVEL_RISE_SP</vt:lpstr>
      <vt:lpstr>SWITCH_FOSSIL_FUELS_EXTRACTION_DIFFICULTY_FACTOR_SP</vt:lpstr>
      <vt:lpstr>SWITCH_FOSSIL_FUELS_RATIONING_SCARCITY_FACTOR</vt:lpstr>
      <vt:lpstr>SWITCH_GROWTH_SLOWDOWN_SP</vt:lpstr>
      <vt:lpstr>SWITCH_LABOUR_SCARCITY_FACTOR</vt:lpstr>
      <vt:lpstr>SWITCH_LAND_LOSS_CAUSED_BY_CLIMATE_CHANGE_SP</vt:lpstr>
      <vt:lpstr>SWITCH_LAND_SCARCITY_FACTOR_SP</vt:lpstr>
      <vt:lpstr>SWITCH_LOSSES_LABOUR_SUPPLY_BY_HEAT_SP</vt:lpstr>
      <vt:lpstr>SWITCH_OUTPUT_LOSS_FACTOR_SP</vt:lpstr>
      <vt:lpstr>SWITCH_SUBSISTENCE_LAND_INTENSITY_DUE_TO_CLIMATE_CHANGE_SP</vt:lpstr>
      <vt:lpstr>TARGET_CONSUMPTION_SHARE_1</vt:lpstr>
      <vt:lpstr>TARGET_CONSUMPTION_SHARE_2</vt:lpstr>
      <vt:lpstr>TARGET_CONSUMPTION_SHARE_3</vt:lpstr>
      <vt:lpstr>TARGET_LABOUR_INTENSITY</vt:lpstr>
      <vt:lpstr>TARGET_LAND_INTENSITIES_SP</vt:lpstr>
      <vt:lpstr>TARGET_SHARE_OF_EACH_SECTOR_IN_GOVERNMENT_CONSUMPTION_SP</vt:lpstr>
      <vt:lpstr>TARGET_SHARE_OF_EACH_SECTOR_IN_GROSS_FIXED_CAPITAL_FOMATION</vt:lpstr>
      <vt:lpstr>TOTAL_EXTRA_INVESTMENT_DUE_TO_SEA_LEVEL_RISE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LuisLlases</dc:creator>
  <cp:lastModifiedBy>ARTHUR HAOYU LAUER</cp:lastModifiedBy>
  <dcterms:created xsi:type="dcterms:W3CDTF">2015-06-05T18:17:20Z</dcterms:created>
  <dcterms:modified xsi:type="dcterms:W3CDTF">2025-11-15T19:14:14Z</dcterms:modified>
</cp:coreProperties>
</file>